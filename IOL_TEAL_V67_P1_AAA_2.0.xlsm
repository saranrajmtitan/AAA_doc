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I:\mechanical\ExternalProjects\NOVA\37_V57 SW POC\AAA\2.1.15_IOL_IO LIST\"/>
    </mc:Choice>
  </mc:AlternateContent>
  <xr:revisionPtr revIDLastSave="0" documentId="13_ncr:1_{031219F9-B54D-45CF-BF06-289A2FA40853}" xr6:coauthVersionLast="47" xr6:coauthVersionMax="47" xr10:uidLastSave="{00000000-0000-0000-0000-000000000000}"/>
  <bookViews>
    <workbookView xWindow="-108" yWindow="-108" windowWidth="23256" windowHeight="12456" tabRatio="382" xr2:uid="{00000000-000D-0000-FFFF-FFFF00000000}"/>
  </bookViews>
  <sheets>
    <sheet name="AAA" sheetId="9" r:id="rId1"/>
    <sheet name="Sen-DB" sheetId="28" r:id="rId2"/>
    <sheet name="R2.0" sheetId="27" r:id="rId3"/>
    <sheet name="Sheet1" sheetId="25" r:id="rId4"/>
    <sheet name="Review Points" sheetId="26" r:id="rId5"/>
    <sheet name="Guidelines" sheetId="13" state="hidden" r:id="rId6"/>
  </sheets>
  <externalReferences>
    <externalReference r:id="rId7"/>
    <externalReference r:id="rId8"/>
  </externalReferences>
  <definedNames>
    <definedName name="_xlnm._FilterDatabase" localSheetId="0" hidden="1">AAA!$I$11:$L$157</definedName>
  </definedNames>
  <calcPr calcId="191029"/>
  <customWorkbookViews>
    <customWorkbookView name="e1290753 - Personal View" guid="{348DB27B-BB82-42CE-8FC0-A4E7EF4D7E2C}" mergeInterval="0" personalView="1" maximized="1" xWindow="1" yWindow="1" windowWidth="1916" windowHeight="850" tabRatio="756" activeSheetId="11"/>
    <customWorkbookView name="e1031823 - Personal View" guid="{10837F21-A15E-4470-9D57-04B6F6A5D667}" mergeInterval="0" personalView="1" maximized="1" xWindow="1" yWindow="1" windowWidth="1362" windowHeight="538" tabRatio="756" activeSheetId="5" showComments="commIndAndComment"/>
    <customWorkbookView name="SANTHOSH KUMAR  - Personal View" guid="{3049B24D-AF41-4248-B184-7EE862730A64}" mergeInterval="0" personalView="1" maximized="1" xWindow="1" yWindow="1" windowWidth="1815" windowHeight="946" tabRatio="756" activeSheetId="5"/>
    <customWorkbookView name="md1290753danalaksmi - Personal View" guid="{6089BA90-1803-4988-94BF-B6E6556E7249}" mergeInterval="0" personalView="1" maximized="1" xWindow="1" yWindow="1" windowWidth="1920" windowHeight="850" activeSheetId="5"/>
    <customWorkbookView name="e1195968 - Personal View" guid="{47553049-C0C6-4FB5-9613-3D17BDD7D8E8}" mergeInterval="0" personalView="1" maximized="1" xWindow="1" yWindow="1" windowWidth="1362" windowHeight="538" activeSheetId="4"/>
    <customWorkbookView name="e1476688 - Personal View" guid="{F4535C02-14A4-40E7-AC88-815874FC0E67}" mergeInterval="0" personalView="1" maximized="1" xWindow="1" yWindow="1" windowWidth="1916" windowHeight="970" tabRatio="756" activeSheetId="5"/>
    <customWorkbookView name="e1212812 - Personal View" guid="{DC597F4A-F5EA-4DEC-AEA4-ADDF57524CCE}" mergeInterval="0" personalView="1" maximized="1" xWindow="1" yWindow="1" windowWidth="1916" windowHeight="826" tabRatio="756" activeSheetId="11"/>
    <customWorkbookView name="e1563373 - Personal View" guid="{D1CF0D9C-8C3A-4734-82F1-E47D2179C340}" mergeInterval="0" personalView="1" maximized="1" xWindow="1" yWindow="1" windowWidth="1362" windowHeight="538" activeSheetId="9"/>
    <customWorkbookView name="e5002376 - Personal View" guid="{81DA9990-BA07-4DEA-8B91-F9ADB1F2A232}" mergeInterval="0" personalView="1" maximized="1" xWindow="1" yWindow="1" windowWidth="1362" windowHeight="538" tabRatio="756" activeSheetId="13"/>
    <customWorkbookView name="e5002720 - Personal View" guid="{5C783A33-C3F7-44BC-A8C6-EBFACF338D53}" mergeInterval="0" personalView="1" maximized="1" xWindow="1" yWindow="1" windowWidth="1362" windowHeight="538" tabRatio="756" activeSheetId="1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9" l="1"/>
  <c r="I8" i="9" l="1"/>
  <c r="I7" i="9"/>
  <c r="C8" i="9" l="1"/>
  <c r="C7" i="9"/>
  <c r="I9" i="9" l="1"/>
  <c r="J8" i="9" s="1"/>
  <c r="C9" i="9"/>
  <c r="D8"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Shabbeer Basha G</author>
  </authors>
  <commentList>
    <comment ref="A6" authorId="0" shapeId="0" xr:uid="{00000000-0006-0000-0000-000001000000}">
      <text>
        <r>
          <rPr>
            <sz val="12"/>
            <color indexed="81"/>
            <rFont val="Tahoma"/>
            <family val="2"/>
          </rPr>
          <t>1. Finish the IO list as per your requirement
2. Enter the Max Character length in cell "L9"
3. Click on "Check IO List" button to check the sheet for any description or short name missing
4. It will highlight the short names that have exceeded the character limit.
5. Spare count is inclusive of DIO table and excludes the No_Connection tags.</t>
        </r>
      </text>
    </comment>
  </commentList>
</comments>
</file>

<file path=xl/sharedStrings.xml><?xml version="1.0" encoding="utf-8"?>
<sst xmlns="http://schemas.openxmlformats.org/spreadsheetml/2006/main" count="1869" uniqueCount="704">
  <si>
    <t>TOTAL DI</t>
  </si>
  <si>
    <t>SPARE DI</t>
  </si>
  <si>
    <t>%</t>
  </si>
  <si>
    <t>ACTUAL DI</t>
  </si>
  <si>
    <t>TOTAL DO</t>
  </si>
  <si>
    <t>SPARE DO</t>
  </si>
  <si>
    <t>ACTUAL DO</t>
  </si>
  <si>
    <t>Inputs:</t>
  </si>
  <si>
    <t>Project Name:</t>
  </si>
  <si>
    <t>Document No:</t>
  </si>
  <si>
    <t>Customer:</t>
  </si>
  <si>
    <t>Created Date:</t>
  </si>
  <si>
    <t>Tracking Code:</t>
  </si>
  <si>
    <t>Revision:</t>
  </si>
  <si>
    <t>Updated Date:</t>
  </si>
  <si>
    <t>Prepared By:</t>
  </si>
  <si>
    <t>Verified By:</t>
  </si>
  <si>
    <t>Approved By:</t>
  </si>
  <si>
    <t>CE DESIGN  - IO LIST</t>
  </si>
  <si>
    <t>S. NO</t>
  </si>
  <si>
    <t>DESCRIPTION</t>
  </si>
  <si>
    <t>ADDRESS</t>
  </si>
  <si>
    <t>FERRULE</t>
  </si>
  <si>
    <t>DEVICE NAME</t>
  </si>
  <si>
    <t>DEVICE PART NUMBER</t>
  </si>
  <si>
    <t>MAKE</t>
  </si>
  <si>
    <t>CABLE DETAILS</t>
  </si>
  <si>
    <t>Sensor DB</t>
  </si>
  <si>
    <t>S.no</t>
  </si>
  <si>
    <t>No of Characters in Short Name</t>
  </si>
  <si>
    <t>SHORT NAME</t>
  </si>
  <si>
    <t>For DIO modules, enter NC or No Connection in the corresponding IOs</t>
  </si>
  <si>
    <t>Cylinder</t>
  </si>
  <si>
    <t>Vacuum</t>
  </si>
  <si>
    <t>Forward</t>
  </si>
  <si>
    <t>Reverse</t>
  </si>
  <si>
    <t>Up</t>
  </si>
  <si>
    <t>Down</t>
  </si>
  <si>
    <t>Open</t>
  </si>
  <si>
    <t>Close</t>
  </si>
  <si>
    <t>Lock</t>
  </si>
  <si>
    <t>Unlock</t>
  </si>
  <si>
    <t>Stopper</t>
  </si>
  <si>
    <t>Estop</t>
  </si>
  <si>
    <t>Light Curtain</t>
  </si>
  <si>
    <t>Solenoid Door</t>
  </si>
  <si>
    <t>Phase Monitor Relay</t>
  </si>
  <si>
    <t>Surge Arrestor</t>
  </si>
  <si>
    <t>Main Air Pressure Switch</t>
  </si>
  <si>
    <t>Safety PLC</t>
  </si>
  <si>
    <t>Safety Relay</t>
  </si>
  <si>
    <t>Communication Valvekit outputs should not be segregated and must be placed in the Output table</t>
  </si>
  <si>
    <t>For cylinders with single set of outputs and multiple set of inputs mention the cylinder number before the cylinder tag. Eg: Lifting 1 Cylinder Up, Lifting 2 Cylinder Up</t>
  </si>
  <si>
    <t>Read Me</t>
  </si>
  <si>
    <t>Guidelines for IO List</t>
  </si>
  <si>
    <t>Description</t>
  </si>
  <si>
    <t>Short Name</t>
  </si>
  <si>
    <t>Spare tag names should be given with respective IO number. Eg: I_Spare_310_0</t>
  </si>
  <si>
    <t>Type the correct spelling for description and short name</t>
  </si>
  <si>
    <t>Type the short names with underscore instead of space and each word should have the first letter capitalized. Eg: I10_Estop_Fb</t>
  </si>
  <si>
    <t>Refer to the spelling database for desciption and short name reference</t>
  </si>
  <si>
    <t>Avoid typing the station name in the tag. Eg: I10_Estop_Fb and not I_OP10_Estop_Fb</t>
  </si>
  <si>
    <t>Refer to the other sheets on how to plan the IOs for Murr Cube67, Solid67 and Turck modules</t>
  </si>
  <si>
    <t>After completion of the IO List, click on the "Check IO List" button to highlight in red all the missed out IOs and the short names that have exceeded the character limit</t>
  </si>
  <si>
    <t>Tower_Lamp_Red</t>
  </si>
  <si>
    <t>Tower Lamp Red</t>
  </si>
  <si>
    <t>Tower_Lamp_Orange</t>
  </si>
  <si>
    <t>Tower Lamp Orange</t>
  </si>
  <si>
    <t>Tower Lamp Green</t>
  </si>
  <si>
    <t>Tower_Lamp_Green</t>
  </si>
  <si>
    <t>Tower Lamp Buzzer</t>
  </si>
  <si>
    <t>Tower_Lamp_Buzzer</t>
  </si>
  <si>
    <t>Analog Input Module</t>
  </si>
  <si>
    <t>Special Devicies</t>
  </si>
  <si>
    <t>PART NUMBER</t>
  </si>
  <si>
    <t>Prakasam B</t>
  </si>
  <si>
    <t>Rajesh S</t>
  </si>
  <si>
    <t>X0-10</t>
  </si>
  <si>
    <t>X0-11</t>
  </si>
  <si>
    <t>X0-12</t>
  </si>
  <si>
    <t>X0-13</t>
  </si>
  <si>
    <t>X0-14</t>
  </si>
  <si>
    <t>X0-15</t>
  </si>
  <si>
    <t>X0-00</t>
  </si>
  <si>
    <t>X0-01</t>
  </si>
  <si>
    <t>X0-02</t>
  </si>
  <si>
    <t>X0-03</t>
  </si>
  <si>
    <t>X0-04</t>
  </si>
  <si>
    <t>X0-05</t>
  </si>
  <si>
    <t>X0-06</t>
  </si>
  <si>
    <t>X0-07</t>
  </si>
  <si>
    <t>X0-08</t>
  </si>
  <si>
    <t>X0-09</t>
  </si>
  <si>
    <t>X1-01</t>
  </si>
  <si>
    <t>X1-00</t>
  </si>
  <si>
    <t>X1-02</t>
  </si>
  <si>
    <t>X1-03</t>
  </si>
  <si>
    <t>X1-04</t>
  </si>
  <si>
    <t>X1-05</t>
  </si>
  <si>
    <t>X1-06</t>
  </si>
  <si>
    <t>X1-07</t>
  </si>
  <si>
    <t>X1-08</t>
  </si>
  <si>
    <t>X1-09</t>
  </si>
  <si>
    <t>X1-10</t>
  </si>
  <si>
    <t>X1-11</t>
  </si>
  <si>
    <t>X1-12</t>
  </si>
  <si>
    <t>X1-13</t>
  </si>
  <si>
    <t>X1-14</t>
  </si>
  <si>
    <t>X1-15</t>
  </si>
  <si>
    <t>X2-01</t>
  </si>
  <si>
    <t>X2-02</t>
  </si>
  <si>
    <t>X2-03</t>
  </si>
  <si>
    <t>X2-04</t>
  </si>
  <si>
    <t>X2-05</t>
  </si>
  <si>
    <t>X2-06</t>
  </si>
  <si>
    <t>X2-07</t>
  </si>
  <si>
    <t>X2-08</t>
  </si>
  <si>
    <t>X2-09</t>
  </si>
  <si>
    <t>X2-10</t>
  </si>
  <si>
    <t>X2-11</t>
  </si>
  <si>
    <t>X2-12</t>
  </si>
  <si>
    <t>X2-13</t>
  </si>
  <si>
    <t>X2-14</t>
  </si>
  <si>
    <t>X2-15</t>
  </si>
  <si>
    <t>X2-00</t>
  </si>
  <si>
    <t>X3-00</t>
  </si>
  <si>
    <t>X3-01</t>
  </si>
  <si>
    <t>X3-02</t>
  </si>
  <si>
    <t>X3-03</t>
  </si>
  <si>
    <t>X3-04</t>
  </si>
  <si>
    <t>X3-05</t>
  </si>
  <si>
    <t>X3-06</t>
  </si>
  <si>
    <t>X3-07</t>
  </si>
  <si>
    <t>X3-08</t>
  </si>
  <si>
    <t>X3-09</t>
  </si>
  <si>
    <t>X3-10</t>
  </si>
  <si>
    <t>X3-11</t>
  </si>
  <si>
    <t>X3-12</t>
  </si>
  <si>
    <t>X3-13</t>
  </si>
  <si>
    <t>X3-14</t>
  </si>
  <si>
    <t>X3-15</t>
  </si>
  <si>
    <t>Y0-00</t>
  </si>
  <si>
    <t>Y0-01</t>
  </si>
  <si>
    <t>Y0-02</t>
  </si>
  <si>
    <t>Y0-03</t>
  </si>
  <si>
    <t>Y0-04</t>
  </si>
  <si>
    <t>Y0-05</t>
  </si>
  <si>
    <t>Y0-06</t>
  </si>
  <si>
    <t>Y0-07</t>
  </si>
  <si>
    <t>Y0-08</t>
  </si>
  <si>
    <t>Y0-09</t>
  </si>
  <si>
    <t>Y0-10</t>
  </si>
  <si>
    <t>Y0-11</t>
  </si>
  <si>
    <t>Y0-12</t>
  </si>
  <si>
    <t>Y0-13</t>
  </si>
  <si>
    <t>Y0-14</t>
  </si>
  <si>
    <t>Y0-15</t>
  </si>
  <si>
    <t>FXBL</t>
  </si>
  <si>
    <t xml:space="preserve"> </t>
  </si>
  <si>
    <t>Spare</t>
  </si>
  <si>
    <t>Tower Lamp Yellow</t>
  </si>
  <si>
    <t xml:space="preserve">AMAX-5052 </t>
  </si>
  <si>
    <t>Main Air Pressure Feedback</t>
  </si>
  <si>
    <t>Start Button</t>
  </si>
  <si>
    <t>Reset Button</t>
  </si>
  <si>
    <t>FFU Error Feedback</t>
  </si>
  <si>
    <t>BTH Laoding Button Left</t>
  </si>
  <si>
    <t>BTH Laoding Button Right</t>
  </si>
  <si>
    <t>Loading Conveyor Pallet Entry Presence Sensor</t>
  </si>
  <si>
    <t>Loading Conveyor Pallet Inplace Sensor</t>
  </si>
  <si>
    <t>Loading Conveyor Stopper Up</t>
  </si>
  <si>
    <t>Loading Conveyor Stopper Down</t>
  </si>
  <si>
    <t>Light Mask X Axis Cylinder Forward</t>
  </si>
  <si>
    <t>Light Mask X Axis Cylinder Backward</t>
  </si>
  <si>
    <t>Light Mask Z Axis Cylinder Forward</t>
  </si>
  <si>
    <t>Light Mask Z Axis Cylinder Backward</t>
  </si>
  <si>
    <t>Working Conveyor Pallet Inplace Sensor</t>
  </si>
  <si>
    <t>Working Conveyor Stopper Cylinder Up</t>
  </si>
  <si>
    <t>Working Conveyor Stopper Cylinder Down</t>
  </si>
  <si>
    <t>Working Conveyor Pallet Clamping Cylinder Clamp</t>
  </si>
  <si>
    <t>Working Conveyor Pallet Clamping Cylinder Unclamp</t>
  </si>
  <si>
    <t>Working Conveyor Pallet Lifting Cylinder Up</t>
  </si>
  <si>
    <t>Working Conveyor Pallet Lifting Cylinder Down</t>
  </si>
  <si>
    <t>Working Conveyor HSG Clamping Cylinder 1 Clamp</t>
  </si>
  <si>
    <t>Working Conveyor HSG Clamping Cylinder 1Unclamp</t>
  </si>
  <si>
    <t>Working Conveyor HSG Clamping Cylinder 2 Clamp</t>
  </si>
  <si>
    <t>Working Conveyor HSG Clamping Cylinder 2 Unclamp</t>
  </si>
  <si>
    <t>Unloading Conveyor Pallet Entry Presence Sensor</t>
  </si>
  <si>
    <t>Unloading Conveyor Pallet Inplace Sensor</t>
  </si>
  <si>
    <t>Unloading Conveyor Stopper Cylinder Up</t>
  </si>
  <si>
    <t>Unloading Conveyor Stopper Cylinder Down</t>
  </si>
  <si>
    <t>Unloading Conveyor Pallet Clamping Cylinder Clamp</t>
  </si>
  <si>
    <t>Unloading Conveyor Pallet Clamping Cylinder Unclamp</t>
  </si>
  <si>
    <t>Unloading Conveyor Pallet Lifting Cylinder Up</t>
  </si>
  <si>
    <t>Unloading Conveyor Pallet Lifting Cylinder Down</t>
  </si>
  <si>
    <t>Unloading Conveyor Exit Sensor</t>
  </si>
  <si>
    <t>Unloading Conveyor HSG Clamping Cylinder 1 Clamp</t>
  </si>
  <si>
    <t>Unloading Conveyor HSG Clamping Cylinder 1Unclamp</t>
  </si>
  <si>
    <t>Unloading Conveyor HSG Clamping Cylinder 2 Clamp</t>
  </si>
  <si>
    <t>Unloading Conveyor HSG Clamping Cylinder 2 Unclamp</t>
  </si>
  <si>
    <t xml:space="preserve">BTH Loading Feeder LHS In Position </t>
  </si>
  <si>
    <t xml:space="preserve">BTH Loading Feeder RHS In Position </t>
  </si>
  <si>
    <t>BTH Loading Feeder LHS Locking Cylinder Up</t>
  </si>
  <si>
    <t>BTH Loading Feeder LHS Locking Cylinder Down</t>
  </si>
  <si>
    <t>BTH Loading Feeder RHS Locking Cylinder Up</t>
  </si>
  <si>
    <t>BTH Loading Feeder RHS Locking Cylinder Down</t>
  </si>
  <si>
    <t>BTH Lifter 1 Component Presensce Sensor</t>
  </si>
  <si>
    <t>BTH Lifter 2 Component Presensce Sensor</t>
  </si>
  <si>
    <t>BTH Lifter 3 Component Presensce Sensor</t>
  </si>
  <si>
    <t>BTH Lifter 4 Component Presensce Sensor</t>
  </si>
  <si>
    <t>BTH Inspection Fixture Vacuum Feedback</t>
  </si>
  <si>
    <t>BTH Pick and place Z axis Cylinder Up</t>
  </si>
  <si>
    <t>BTH Pick and place Z axis Cylinder Down</t>
  </si>
  <si>
    <t>BTH Pick and Place Vacuum Feeback</t>
  </si>
  <si>
    <t>X4-00</t>
  </si>
  <si>
    <t>X4-01</t>
  </si>
  <si>
    <t>X4-02</t>
  </si>
  <si>
    <t>X4-03</t>
  </si>
  <si>
    <t>X4-04</t>
  </si>
  <si>
    <t>X4-05</t>
  </si>
  <si>
    <t>X4-06</t>
  </si>
  <si>
    <t>X4-07</t>
  </si>
  <si>
    <t>X4-08</t>
  </si>
  <si>
    <t>X4-09</t>
  </si>
  <si>
    <t>X4-10</t>
  </si>
  <si>
    <t>X4-11</t>
  </si>
  <si>
    <t>X4-12</t>
  </si>
  <si>
    <t>X4-13</t>
  </si>
  <si>
    <t>X4-14</t>
  </si>
  <si>
    <t>X4-15</t>
  </si>
  <si>
    <t>Robot Collision Prevention Sensor</t>
  </si>
  <si>
    <t>Peel off Cylinder Clamp</t>
  </si>
  <si>
    <t>Peel off Cylinder Unclamp</t>
  </si>
  <si>
    <t>Peel off Module Vacuum Feeback</t>
  </si>
  <si>
    <t>X5-00</t>
  </si>
  <si>
    <t>X5-01</t>
  </si>
  <si>
    <t>X5-02</t>
  </si>
  <si>
    <t>X5-03</t>
  </si>
  <si>
    <t>X5-04</t>
  </si>
  <si>
    <t>X5-05</t>
  </si>
  <si>
    <t>X5-06</t>
  </si>
  <si>
    <t>X5-07</t>
  </si>
  <si>
    <t>X5-08</t>
  </si>
  <si>
    <t>X5-09</t>
  </si>
  <si>
    <t>X5-10</t>
  </si>
  <si>
    <t>X5-11</t>
  </si>
  <si>
    <t>X5-12</t>
  </si>
  <si>
    <t>X5-13</t>
  </si>
  <si>
    <t>X5-14</t>
  </si>
  <si>
    <t>X5-15</t>
  </si>
  <si>
    <t>AMAX-5057</t>
  </si>
  <si>
    <t>Start Pusb Button Indication</t>
  </si>
  <si>
    <t>Reset Pusb Button Indication</t>
  </si>
  <si>
    <t>BTH Laoding Button Left Indication</t>
  </si>
  <si>
    <t>BTH Laoding Button Right Indication</t>
  </si>
  <si>
    <t>Machine Lamp On Signal</t>
  </si>
  <si>
    <t>FFU On Command</t>
  </si>
  <si>
    <t>AMAX-5017H</t>
  </si>
  <si>
    <t>AMAX-5052</t>
  </si>
  <si>
    <t>Output Module</t>
  </si>
  <si>
    <t>Robot General Purpose Output 12</t>
  </si>
  <si>
    <t>Robot General Purpose Output 13</t>
  </si>
  <si>
    <t>Robot General Purpose Output 14</t>
  </si>
  <si>
    <t>Y1-00</t>
  </si>
  <si>
    <t>Y1-01</t>
  </si>
  <si>
    <t>Y1-02</t>
  </si>
  <si>
    <t>Y1-03</t>
  </si>
  <si>
    <t>Y1-04</t>
  </si>
  <si>
    <t>Y1-05</t>
  </si>
  <si>
    <t>Y1-06</t>
  </si>
  <si>
    <t>Y1-07</t>
  </si>
  <si>
    <t>Y1-08</t>
  </si>
  <si>
    <t>Y1-09</t>
  </si>
  <si>
    <t>Y1-10</t>
  </si>
  <si>
    <t>Y1-11</t>
  </si>
  <si>
    <t>Y1-12</t>
  </si>
  <si>
    <t>Y1-13</t>
  </si>
  <si>
    <t>Y1-14</t>
  </si>
  <si>
    <t>Y1-15</t>
  </si>
  <si>
    <t>Robot Operating Signal</t>
  </si>
  <si>
    <t>Robot Alarm Signal</t>
  </si>
  <si>
    <t>Robot Operation Right Signal</t>
  </si>
  <si>
    <t>Robot Program Selection Signal 1</t>
  </si>
  <si>
    <t>Robot Program Selection Signal 2</t>
  </si>
  <si>
    <t>Robot Program Selection Signal 3</t>
  </si>
  <si>
    <t>Robot Program Selection Signal 4</t>
  </si>
  <si>
    <t>Robot General Purpose Output 7</t>
  </si>
  <si>
    <t>Robot General Purpose Output 8</t>
  </si>
  <si>
    <t>Robot General Purpose Output 9</t>
  </si>
  <si>
    <t>Robot General Purpose Output 10</t>
  </si>
  <si>
    <t>Robot General Purpose Output 11</t>
  </si>
  <si>
    <t>Working Conveyor Motor Alarm Signal</t>
  </si>
  <si>
    <t>Loading Conveyor Motor Alarm Signal</t>
  </si>
  <si>
    <t>Unloading Conveyor Motor Alarm Signal</t>
  </si>
  <si>
    <t>Loading Conveyor Motor Forward Command</t>
  </si>
  <si>
    <t>Loading Conveyor Motor Reverse Command</t>
  </si>
  <si>
    <t>Loading Conveyor Motor Alarm Reset</t>
  </si>
  <si>
    <t>Working Conveyor Motor Forward Command</t>
  </si>
  <si>
    <t>Working Conveyor Motor Reverse Command</t>
  </si>
  <si>
    <t>Working Conveyor Motor Alarm Reset</t>
  </si>
  <si>
    <t>Unloading Conveyor Motor Forward Command</t>
  </si>
  <si>
    <t>Unloading Conveyor Motor Reverse Command</t>
  </si>
  <si>
    <t>Unloading Conveyor Motor Alarm Reset</t>
  </si>
  <si>
    <t xml:space="preserve">Robot Emergency Stop Signal </t>
  </si>
  <si>
    <t xml:space="preserve">Robot Program Reset Signal </t>
  </si>
  <si>
    <t xml:space="preserve">Robot Start Signal </t>
  </si>
  <si>
    <t>Robot Alarm Reset</t>
  </si>
  <si>
    <t>Robot Program Output Requirement Signal</t>
  </si>
  <si>
    <t>Robot General Purpose Input Signal</t>
  </si>
  <si>
    <t>Y2-00</t>
  </si>
  <si>
    <t>Y2-01</t>
  </si>
  <si>
    <t>Y2-02</t>
  </si>
  <si>
    <t>Y2-03</t>
  </si>
  <si>
    <t>Y2-04</t>
  </si>
  <si>
    <t>Y2-05</t>
  </si>
  <si>
    <t>Y2-06</t>
  </si>
  <si>
    <t>Y2-07</t>
  </si>
  <si>
    <t>Y2-08</t>
  </si>
  <si>
    <t>Y2-09</t>
  </si>
  <si>
    <t>Y2-10</t>
  </si>
  <si>
    <t>Y2-11</t>
  </si>
  <si>
    <t>Y2-12</t>
  </si>
  <si>
    <t>Y2-13</t>
  </si>
  <si>
    <t>Y2-14</t>
  </si>
  <si>
    <t>Y2-15</t>
  </si>
  <si>
    <t>Robot Load Cell</t>
  </si>
  <si>
    <t>Pressing Module Load Cell</t>
  </si>
  <si>
    <t>LoadCell and Amplifier</t>
  </si>
  <si>
    <t>Main_Air_Pres_FB</t>
  </si>
  <si>
    <t>FFU_Err_FB</t>
  </si>
  <si>
    <t>Start_PB</t>
  </si>
  <si>
    <t>Res_PB</t>
  </si>
  <si>
    <t>BTH_Laod_PB_LHS</t>
  </si>
  <si>
    <t>BTH_Laod_PB_RHS</t>
  </si>
  <si>
    <t>Loading_Conv_Stop_Cyl_Up</t>
  </si>
  <si>
    <t>Loading_Conv_Stop_Cyl_Down</t>
  </si>
  <si>
    <t xml:space="preserve">Robot IO Naming </t>
  </si>
  <si>
    <t>Circuit Signal Tapping</t>
  </si>
  <si>
    <t>On the Fly</t>
  </si>
  <si>
    <t>Stepper IO and Limits through Network</t>
  </si>
  <si>
    <t>Stop Button</t>
  </si>
  <si>
    <t>Stop_PB</t>
  </si>
  <si>
    <t>Load_Conv_Alarm_Signl</t>
  </si>
  <si>
    <t>Light_Mask_X Axis_Cyl_FW</t>
  </si>
  <si>
    <t>Light_Mask_X Axis_Cyl_BW</t>
  </si>
  <si>
    <t>Light_Mask_Z Axis_Cyl_FW</t>
  </si>
  <si>
    <t>Light_Mask_Z Axis_Cyl_BW</t>
  </si>
  <si>
    <t>Slot</t>
  </si>
  <si>
    <t>Green Push Button</t>
  </si>
  <si>
    <t>Red Push Button</t>
  </si>
  <si>
    <t>Yellow Push Button</t>
  </si>
  <si>
    <t>XB5AW33B1N</t>
  </si>
  <si>
    <t>XB5AW35B1N</t>
  </si>
  <si>
    <t>XB5AW34B1N</t>
  </si>
  <si>
    <t>Schneider Electric</t>
  </si>
  <si>
    <t>Blue Push Button</t>
  </si>
  <si>
    <t>XB5AW36B1N</t>
  </si>
  <si>
    <t xml:space="preserve"> 20 x 0.25 (28320)</t>
  </si>
  <si>
    <t>Fan filter Unit</t>
  </si>
  <si>
    <t>ZN-A4105D</t>
  </si>
  <si>
    <t>Omron</t>
  </si>
  <si>
    <t>Photoelectric Sensor</t>
  </si>
  <si>
    <t>EX-14A</t>
  </si>
  <si>
    <t>Panasonic</t>
  </si>
  <si>
    <t>Built In Cable</t>
  </si>
  <si>
    <t>Reed Switch</t>
  </si>
  <si>
    <t>Stepper Drive</t>
  </si>
  <si>
    <t>Oriental</t>
  </si>
  <si>
    <t>LH010C3</t>
  </si>
  <si>
    <t>Load_Conv_Pall_Inp_Sen</t>
  </si>
  <si>
    <t>Work_Conv_Pall_Inp_Sen</t>
  </si>
  <si>
    <t>Wor_Conv_Pall_Clamp_Cyl_Clamp</t>
  </si>
  <si>
    <t>Wor_Conv_Pall_Clamp_Cyl_UnClamp</t>
  </si>
  <si>
    <t>Work_Conv_HSG_Clamp_Cyl 1_Clamp</t>
  </si>
  <si>
    <t>Work_Conv_HSG_Clamp_Cyl 1_Unclamp</t>
  </si>
  <si>
    <t>Work_Conv_HSG_Clamp_Cyl 2_Clamp</t>
  </si>
  <si>
    <t>Work_Conv_HSG_Clamp_Cyl 2_Unclamp</t>
  </si>
  <si>
    <t>Wor_Conv_Cyl_Stop_Up</t>
  </si>
  <si>
    <t>Wor_Conv_Cyl_Stop_Down</t>
  </si>
  <si>
    <t>Unloading_Conv_Pall_Ent_Pres_Sen</t>
  </si>
  <si>
    <t>Unloading_Conv_Pall_Inp_Sen</t>
  </si>
  <si>
    <t>Unload_Conv_Stop_Cyl_Up</t>
  </si>
  <si>
    <t>Unload_Conv_Stop_Cyl_Down</t>
  </si>
  <si>
    <t>Unload_Conv_Pall_Clamp_Cyl_Clamp</t>
  </si>
  <si>
    <t>Unload_Conv_Pall_Clamp_Cyl_Unclamp</t>
  </si>
  <si>
    <t>Unload_Conv_Pall_Lift_Cyl_UP</t>
  </si>
  <si>
    <t>Unload_Conv_Pall_Lift_Cyl_Down</t>
  </si>
  <si>
    <t>Unload_Conv_HSG_Clamp_Cyl 1_Clamp</t>
  </si>
  <si>
    <t>Unload_Conv_HSG_Clamp_Cyl 1_Unclamp</t>
  </si>
  <si>
    <t>Unload_Conv_HSG_Clamp_Cyl 2_Clamp</t>
  </si>
  <si>
    <t>Unload_Conv_HSG_Clamp_Cyl 2_Unclamp</t>
  </si>
  <si>
    <t>Work_Conv_Motor_Alarm_Signl</t>
  </si>
  <si>
    <t>Unload_Conv_Motor_Alarm_Signl</t>
  </si>
  <si>
    <t>BTH_Load_Feeder_LHS_In_Pos</t>
  </si>
  <si>
    <t>BTH_Load_Feeder_RHS_In_Pos</t>
  </si>
  <si>
    <t>BTH_Load_Feeder_LHS_Lock_Cyl_Up</t>
  </si>
  <si>
    <t>BTH_Load_Feeder_RHS_Lock_Cyl_Up</t>
  </si>
  <si>
    <t>BTH_Lift 1_Comp_Pres_Sen</t>
  </si>
  <si>
    <t>BTH_Lift 2_Comp_Pres_Sen</t>
  </si>
  <si>
    <t>BTH_Lift 3_Comp_Pres_Sen</t>
  </si>
  <si>
    <t>BTH_Lift 4_Comp_Pres_Sen</t>
  </si>
  <si>
    <t>BTH_Load_Feed_LHS_Top_Sen</t>
  </si>
  <si>
    <t>BTH_Load_Feed_RHS_Top_Sen</t>
  </si>
  <si>
    <t>BTH_Insp_Fix_Vacuum_FB</t>
  </si>
  <si>
    <t>BTH_P&amp;P_Z Axis_Cyl_Up</t>
  </si>
  <si>
    <t>BTH_P&amp;P_Z Axis_Cyl_Down</t>
  </si>
  <si>
    <t>BTH_P&amp;P_Vacuum_FB</t>
  </si>
  <si>
    <t>BTH Loading Feeder LHS Top Sensor</t>
  </si>
  <si>
    <t>BTH Loading Feeder RHS Top Sensor</t>
  </si>
  <si>
    <t>Slot Sensor</t>
  </si>
  <si>
    <t>PM-L25</t>
  </si>
  <si>
    <t>Fiber Optic Sensor</t>
  </si>
  <si>
    <t>Keyence</t>
  </si>
  <si>
    <t>FU-35FZ + FS-N11N</t>
  </si>
  <si>
    <t>FU-77TZ + FS-N11N</t>
  </si>
  <si>
    <t>Pressure Switch</t>
  </si>
  <si>
    <t>RBT_Col_Prev_Sen</t>
  </si>
  <si>
    <t>Peel_Off_Cyl_Clamp</t>
  </si>
  <si>
    <t>Peel_Off_Cyl_Unclamp</t>
  </si>
  <si>
    <t>Peel_Off_Module_Vacuum_FB</t>
  </si>
  <si>
    <t>RBT_Opr_Sigl</t>
  </si>
  <si>
    <t>RBT_Alm_Sigl</t>
  </si>
  <si>
    <t>RBT_Opr_Right_Signl</t>
  </si>
  <si>
    <t>RBT_Prog_Select_Signl 1</t>
  </si>
  <si>
    <t>RBT_Prog_Select_Signl 2</t>
  </si>
  <si>
    <t>RBT_Prog_Select_Signl 3</t>
  </si>
  <si>
    <t>RBT_Prog_Select_Signl 4</t>
  </si>
  <si>
    <t>RBT_Gen_Purp_Output 7</t>
  </si>
  <si>
    <t>RBT_Gen_Purp_Output 8</t>
  </si>
  <si>
    <t>RBT_Gen_Purp_Output 9</t>
  </si>
  <si>
    <t>RBT_Gen_Purp_Output 10</t>
  </si>
  <si>
    <t>RBT_Gen_Purp_Output 11</t>
  </si>
  <si>
    <t>RBT_Gen_Purp_Output 12</t>
  </si>
  <si>
    <t>RBT_Gen_Purp_Output 13</t>
  </si>
  <si>
    <t>RBT_Gen_Purp_Output 14</t>
  </si>
  <si>
    <t>Robot General Purpose Output 15</t>
  </si>
  <si>
    <t>RBT_Gen_Purp_Output 15</t>
  </si>
  <si>
    <t>Mitsubishi</t>
  </si>
  <si>
    <t>2D-TZ368</t>
  </si>
  <si>
    <t>Robot IO Card</t>
  </si>
  <si>
    <t>2D-CBL05</t>
  </si>
  <si>
    <t>Load_Conv_Motor_FW _Cmd</t>
  </si>
  <si>
    <t>Work_Conv_Motor_FW _Cmd</t>
  </si>
  <si>
    <t>Load_Conv_Motor_Rev _Cmd</t>
  </si>
  <si>
    <t>Load_Conv_Motor_Alm_Rst</t>
  </si>
  <si>
    <t>Work_Conv_Motor_Rev _Cmd</t>
  </si>
  <si>
    <t>Work_Conv_Motor_Alm_Rst</t>
  </si>
  <si>
    <t>Unload_Conv_Motor_FW _Cmd</t>
  </si>
  <si>
    <t>Unload_Conv_Motor_Rev _Cmd</t>
  </si>
  <si>
    <t>Unload_Conv_Motor_Alm_Rst</t>
  </si>
  <si>
    <t>Strt_PB_Indication</t>
  </si>
  <si>
    <t>Stp_PB_Indication</t>
  </si>
  <si>
    <t>Rst_PB_Indication</t>
  </si>
  <si>
    <t>BTH_Load_PB_Left_Indication</t>
  </si>
  <si>
    <t>BTH_Load_PB_Right_Indication</t>
  </si>
  <si>
    <t>Tower_Lmp_Grn</t>
  </si>
  <si>
    <t>Tower_Lmp_YW</t>
  </si>
  <si>
    <t>Tower_Lmp_Rd</t>
  </si>
  <si>
    <t>Tower_Lmp_Buzz</t>
  </si>
  <si>
    <t>M/C_Lmp_On_Signl</t>
  </si>
  <si>
    <t>FFU_On_Cmd</t>
  </si>
  <si>
    <t>RBT_EMG_Stp_Signl</t>
  </si>
  <si>
    <t>RBT_Rst_Signl</t>
  </si>
  <si>
    <t>RBT_Strt_Signl</t>
  </si>
  <si>
    <t>RBT_Alm_Rst_Signl</t>
  </si>
  <si>
    <t>RBT_Prog_Selec_Signl 1</t>
  </si>
  <si>
    <t>RBT_Prog_Selec_Signl 2</t>
  </si>
  <si>
    <t>RBT_Prog_Selec_Signl 3</t>
  </si>
  <si>
    <t>RBT_Prog_Selec_Signl 4</t>
  </si>
  <si>
    <t>RBT_Prog_Out_Req_Signl</t>
  </si>
  <si>
    <t>Pressing Module Home Signal</t>
  </si>
  <si>
    <t>Press_Module_Home_Signl</t>
  </si>
  <si>
    <t>Final Inspection Module Home Signal</t>
  </si>
  <si>
    <t>Final_Insp_Module_Home_Signl</t>
  </si>
  <si>
    <t>BTH Pick &amp; Place Home Signl</t>
  </si>
  <si>
    <t>BTH P&amp;P Home Signl</t>
  </si>
  <si>
    <t>Peel Off Module Interaction Signal</t>
  </si>
  <si>
    <t>Peel_Off_Module_Inter_Signl</t>
  </si>
  <si>
    <t>RBT_Gen_Pur_Inp_Signl</t>
  </si>
  <si>
    <t>Stop Pusb Button Indication</t>
  </si>
  <si>
    <t>Safety Bypess Relay On Signal</t>
  </si>
  <si>
    <t>Saf_Byp_Rel_On_Signl</t>
  </si>
  <si>
    <t>Tower Lamp</t>
  </si>
  <si>
    <t>DL5-P-RYG-1M</t>
  </si>
  <si>
    <t>Nexus Automech</t>
  </si>
  <si>
    <t>8 x 0.5 Sqmm(28508)</t>
  </si>
  <si>
    <t>Machine Lamp</t>
  </si>
  <si>
    <t>MY2N-GS 24 + PYFZ-08-E +919215850487</t>
  </si>
  <si>
    <t>Omron + Philips</t>
  </si>
  <si>
    <t>2 x 0.5 Sqmm(0028502)</t>
  </si>
  <si>
    <t>Fan Filter Unit</t>
  </si>
  <si>
    <t>MY2N-GS 24 + PYFZ-08-E +ZN-A4105D</t>
  </si>
  <si>
    <t xml:space="preserve">MY2N-GS 24 + PYFZ-08-E </t>
  </si>
  <si>
    <t>Relay</t>
  </si>
  <si>
    <t>IPC-7120, i9-12900</t>
  </si>
  <si>
    <t>IPC</t>
  </si>
  <si>
    <t>HK-KT13WK + MR-J5-10G-N1</t>
  </si>
  <si>
    <t>HK-KT43WK + MR-J5-40G-N1</t>
  </si>
  <si>
    <t>HK-KT23WBK + MR-J5-20G-N1</t>
  </si>
  <si>
    <t>Advantech</t>
  </si>
  <si>
    <t>RH-3FRHR3513-D</t>
  </si>
  <si>
    <t>HG-KN13J-S100 + MR-JE-10B</t>
  </si>
  <si>
    <t>Pilz</t>
  </si>
  <si>
    <t>CVD4ABR-KED + PKP246D23A2 + LA422C05</t>
  </si>
  <si>
    <t>CVD2BR-KR + PKP266D28A2</t>
  </si>
  <si>
    <t>AMAX-3245-AE</t>
  </si>
  <si>
    <t>PCI-1203-16AE</t>
  </si>
  <si>
    <t>FPM-217-R9AE</t>
  </si>
  <si>
    <t>RFG-WD01</t>
  </si>
  <si>
    <t>Mantra</t>
  </si>
  <si>
    <t>Phoenix Contact</t>
  </si>
  <si>
    <t>I350-T4</t>
  </si>
  <si>
    <t>Intel</t>
  </si>
  <si>
    <t>16 Axis Motion Card</t>
  </si>
  <si>
    <t>Touch Monitor</t>
  </si>
  <si>
    <t>Etthernet Adapter</t>
  </si>
  <si>
    <t>8 Port Ethernet Switch</t>
  </si>
  <si>
    <t>Vision</t>
  </si>
  <si>
    <t>Cognex Vision SOP</t>
  </si>
  <si>
    <t>Cognex</t>
  </si>
  <si>
    <t>Lighting</t>
  </si>
  <si>
    <t>OPT Vision SOP</t>
  </si>
  <si>
    <t>OPT</t>
  </si>
  <si>
    <t>BTH Pick and Place Servo Motor</t>
  </si>
  <si>
    <t>Pressing Module Z axis Servo Motor</t>
  </si>
  <si>
    <t>Pressing Module X axis , Final Inspection X axis and Y axis Servo Motor</t>
  </si>
  <si>
    <t xml:space="preserve">Robot </t>
  </si>
  <si>
    <t>Peel Off Module Servo Motor</t>
  </si>
  <si>
    <t>BTH Lifter 1</t>
  </si>
  <si>
    <t>BTH Lifter 2</t>
  </si>
  <si>
    <t>BTH Lifter 3</t>
  </si>
  <si>
    <t>BTH Lifter 4</t>
  </si>
  <si>
    <t>Loading Conveyor Stepper Motor</t>
  </si>
  <si>
    <t>Working Conveyor Stepper Motor</t>
  </si>
  <si>
    <t>Unloading Conveyor Stepper Motor</t>
  </si>
  <si>
    <t xml:space="preserve">4 Axis Motion Control Module </t>
  </si>
  <si>
    <t>RFID Reader</t>
  </si>
  <si>
    <t>2 x 2 x 0.25(35800)</t>
  </si>
  <si>
    <t xml:space="preserve">Single Core 0.5 Sq mm </t>
  </si>
  <si>
    <t>4 x 0.5(28504)</t>
  </si>
  <si>
    <t>Valve Kit 2</t>
  </si>
  <si>
    <t>Valve Details</t>
  </si>
  <si>
    <t>SMC</t>
  </si>
  <si>
    <t>EX500-AP050-S</t>
  </si>
  <si>
    <t>SS5Y5-10SDA-08B-C6-NA</t>
  </si>
  <si>
    <t>Y100-0</t>
  </si>
  <si>
    <t>Y100-1</t>
  </si>
  <si>
    <t>Y100-2</t>
  </si>
  <si>
    <t>Y100-4</t>
  </si>
  <si>
    <t>Y100-6</t>
  </si>
  <si>
    <t>Y100-8</t>
  </si>
  <si>
    <t>Y100-10</t>
  </si>
  <si>
    <t>Y100-11</t>
  </si>
  <si>
    <t>Y100-12</t>
  </si>
  <si>
    <t>Y100-13</t>
  </si>
  <si>
    <t>Y100-14</t>
  </si>
  <si>
    <t>Y100-15</t>
  </si>
  <si>
    <t>Valve Kit 1</t>
  </si>
  <si>
    <t>SS5Y5-10SDA-04B-C6-NA</t>
  </si>
  <si>
    <t>SS5Y5-10SDA-12B-C6-NA</t>
  </si>
  <si>
    <t>D-M9BL</t>
  </si>
  <si>
    <t>ISE20A-X-01-JD</t>
  </si>
  <si>
    <t>BTH Lifer 1 Upper Limit</t>
  </si>
  <si>
    <t>BTH Lifer 1 Lower Limit</t>
  </si>
  <si>
    <t>Pressing Module X Axis Home</t>
  </si>
  <si>
    <t>Pressing Module X Axis Positive Limit</t>
  </si>
  <si>
    <t>Pressing Module X Axis Negative Limit</t>
  </si>
  <si>
    <t>Pressing Module Z Axis Home</t>
  </si>
  <si>
    <t>Pressing Module Z Axis Positive Limit</t>
  </si>
  <si>
    <t>Pressing Module Z Axis Negative Limit</t>
  </si>
  <si>
    <t>Final Inspection Module X axis Home</t>
  </si>
  <si>
    <t>Final Inspection Module X axis Positive Limit</t>
  </si>
  <si>
    <t>Final Inspection Module X axis Negative Limit</t>
  </si>
  <si>
    <t>Final Inspection Module Y axis Home</t>
  </si>
  <si>
    <t>Final Inspection Module Y axis Positive Limit</t>
  </si>
  <si>
    <t>Final Inspection Module Y axis Negative Limit</t>
  </si>
  <si>
    <t>BTH Lifer 2 Upper Limit</t>
  </si>
  <si>
    <t>BTH Lifer 2 Lower Limit</t>
  </si>
  <si>
    <t>BTH Lifer 3 Upper Limit</t>
  </si>
  <si>
    <t>BTH Lifer 3 Lower Limit</t>
  </si>
  <si>
    <t>BTH Lifer 4 Upper Limit</t>
  </si>
  <si>
    <t>BTH Lifer 4 Lower Limit</t>
  </si>
  <si>
    <t>BTH Pick and Place X axis Home</t>
  </si>
  <si>
    <t>BTH Pick and Place X axis Negative Limit</t>
  </si>
  <si>
    <t>BTH Pick and Place X Axis Positive Limit</t>
  </si>
  <si>
    <t>RFID Door Switch</t>
  </si>
  <si>
    <t>Schmersal</t>
  </si>
  <si>
    <t>RSS260-I2-D-LSTM12-8-0,25M +RST260-1+ A-K8P-M12-S-G-5M-BK-2-X-A-4-69</t>
  </si>
  <si>
    <t>Y101-0</t>
  </si>
  <si>
    <t>Y101-2</t>
  </si>
  <si>
    <t>Y101-4</t>
  </si>
  <si>
    <t>Y101-6</t>
  </si>
  <si>
    <t>Y101-7</t>
  </si>
  <si>
    <t>Y102-0</t>
  </si>
  <si>
    <t>Y102-2</t>
  </si>
  <si>
    <t>Y102-4</t>
  </si>
  <si>
    <t>AI0.0</t>
  </si>
  <si>
    <t>BTH_Load_Feeder_LHS_Lock_Cyl_Down</t>
  </si>
  <si>
    <t>BTH_Load_Feeder_RHS_Lock_Cyl_Down</t>
  </si>
  <si>
    <t>Light Controller 5 Trigger Output 1</t>
  </si>
  <si>
    <t>LC5_Trig_O/P 1</t>
  </si>
  <si>
    <t>00+</t>
  </si>
  <si>
    <t>Camera 6 Trigger Output</t>
  </si>
  <si>
    <t>Cam 6_Trig_O/P</t>
  </si>
  <si>
    <t>CVD4ABR-KED</t>
  </si>
  <si>
    <t>LCD06CA-S</t>
  </si>
  <si>
    <t>Wor_Conv_Pall_Lift_Cyl_Up</t>
  </si>
  <si>
    <t>Wor_Conv_Pall_Lift_Cyl_Down</t>
  </si>
  <si>
    <t>5/2 Single Solenoid</t>
  </si>
  <si>
    <t>5/3 Mid position Closed</t>
  </si>
  <si>
    <t>2 x 3/2 Valve, Normally closed</t>
  </si>
  <si>
    <t>Dummy</t>
  </si>
  <si>
    <t>Working Conveyor Pallet Entry Presence Sensor</t>
  </si>
  <si>
    <t>Work_Conv_Pall_Ent_Presence_Sen</t>
  </si>
  <si>
    <t>Unloading_Conveyor_Exit_Sen</t>
  </si>
  <si>
    <t>AI0.1</t>
  </si>
  <si>
    <t>Load_Conv_Pall_Ent_Pres_Sen</t>
  </si>
  <si>
    <t>Y100-3</t>
  </si>
  <si>
    <t>Reserved</t>
  </si>
  <si>
    <t>Y100-5</t>
  </si>
  <si>
    <t>Y100-7</t>
  </si>
  <si>
    <t>Y100-9</t>
  </si>
  <si>
    <t xml:space="preserve">SS5Y5-10SDA-08B-C6-NA </t>
  </si>
  <si>
    <t>Y101-1</t>
  </si>
  <si>
    <t>Y101-3</t>
  </si>
  <si>
    <t>Y101-5</t>
  </si>
  <si>
    <t>Y101-8</t>
  </si>
  <si>
    <t>Y101-9</t>
  </si>
  <si>
    <t>Y101-10</t>
  </si>
  <si>
    <t>Y101-11</t>
  </si>
  <si>
    <t>Y101-12</t>
  </si>
  <si>
    <t>Y101-13</t>
  </si>
  <si>
    <t>Dual 3/2 NC Valve</t>
  </si>
  <si>
    <t>Y101-14</t>
  </si>
  <si>
    <t>Y101-15</t>
  </si>
  <si>
    <t>Y101-16</t>
  </si>
  <si>
    <t>Y101-17</t>
  </si>
  <si>
    <t>Y101-18</t>
  </si>
  <si>
    <t>Y101-19</t>
  </si>
  <si>
    <t>Y101-20</t>
  </si>
  <si>
    <t>Y101-21</t>
  </si>
  <si>
    <t>Y101-22</t>
  </si>
  <si>
    <t>Y101-23</t>
  </si>
  <si>
    <t>BTH Pick &amp; Place Blow On</t>
  </si>
  <si>
    <t>BTH Inspection Fixture Blow On</t>
  </si>
  <si>
    <t>Robot Blow On</t>
  </si>
  <si>
    <t>Valve Kit 3</t>
  </si>
  <si>
    <t>Y102-1</t>
  </si>
  <si>
    <t>Y102-3</t>
  </si>
  <si>
    <t>Y102-5</t>
  </si>
  <si>
    <t xml:space="preserve">Main Air Valve On Signal </t>
  </si>
  <si>
    <t>Main_Air_Val_On_Sigl</t>
  </si>
  <si>
    <t>BTH_P&amp;P_Blow_On</t>
  </si>
  <si>
    <t>BTH_Insp_Fix_Blow_On</t>
  </si>
  <si>
    <t>RBT_Blow_On</t>
  </si>
  <si>
    <t>Peel off Cylinder Declamp</t>
  </si>
  <si>
    <t>Peel_Off_Cyl_Declamp</t>
  </si>
  <si>
    <t>Aadhil Mohamed A</t>
  </si>
  <si>
    <t>Y101-24</t>
  </si>
  <si>
    <t>Y101-25</t>
  </si>
  <si>
    <t>Y101-26</t>
  </si>
  <si>
    <t>Y101-27</t>
  </si>
  <si>
    <t>Y101-28</t>
  </si>
  <si>
    <t>Y101-29</t>
  </si>
  <si>
    <t>Y101-30</t>
  </si>
  <si>
    <t>Y101-31</t>
  </si>
  <si>
    <t>Soft start valve</t>
  </si>
  <si>
    <t>AV2000-02B-5DZ-A</t>
  </si>
  <si>
    <t>Door switch safety Feedback</t>
  </si>
  <si>
    <t>Door_switch_sfty_Fb</t>
  </si>
  <si>
    <t>Safety Controller</t>
  </si>
  <si>
    <t>IO DESCRIPTION</t>
  </si>
  <si>
    <t>IO SHORT NAME</t>
  </si>
  <si>
    <t>Reason</t>
  </si>
  <si>
    <t>E-Stop Button Safety Feedback</t>
  </si>
  <si>
    <t>E-Stop_Button_Sfty_Fb</t>
  </si>
  <si>
    <t>AAA</t>
  </si>
  <si>
    <t>Y102-6</t>
  </si>
  <si>
    <t>Y102-7</t>
  </si>
  <si>
    <t>Cover_Blow_On</t>
  </si>
  <si>
    <t>BTH Pick &amp; Place Vaccum Off</t>
  </si>
  <si>
    <t>BTH Inspection Fixture Vaccum Off</t>
  </si>
  <si>
    <t>Robot Vaccum Off</t>
  </si>
  <si>
    <t>Cover Blow On</t>
  </si>
  <si>
    <t>BTH_P&amp;P_Vacc_Off</t>
  </si>
  <si>
    <t>BTH_Insp_Fix_Vacc_Off</t>
  </si>
  <si>
    <t>RBT_Vacc_Off</t>
  </si>
  <si>
    <t>3/2 NC VALVE</t>
  </si>
  <si>
    <t>3/2 NO VALVE</t>
  </si>
  <si>
    <t>R2.0</t>
  </si>
  <si>
    <t>Robot_Vaccum_FB</t>
  </si>
  <si>
    <t>Robot Vaccum feedback</t>
  </si>
  <si>
    <t>Description changed as per req.</t>
  </si>
  <si>
    <t>Sen DB -1</t>
  </si>
  <si>
    <t>Sen DB -2</t>
  </si>
  <si>
    <t>Sen DB -3</t>
  </si>
  <si>
    <t>Sen DB -4</t>
  </si>
  <si>
    <t>Sen DB -5</t>
  </si>
  <si>
    <t>Sen DB -6</t>
  </si>
  <si>
    <t>Sen DB -7</t>
  </si>
  <si>
    <t>Sen DB -8</t>
  </si>
  <si>
    <t>Sen DB -9</t>
  </si>
  <si>
    <t>Sen DB -10</t>
  </si>
  <si>
    <t>Sen DB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</si>
</sst>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1" formatCode="_ * #,##0_ ;_ * \-#,##0_ ;_ * &quot;-&quot;_ ;_ @_ "/>
    <numFmt numFmtId="43" formatCode="_ * #,##0.00_ ;_ * \-#,##0.00_ ;_ * &quot;-&quot;??_ ;_ @_ "/>
    <numFmt numFmtId="164" formatCode="[$-409]d\-mmm\-yy;@"/>
    <numFmt numFmtId="165" formatCode="_(&quot;$&quot;* #,##0.00_);_(&quot;$&quot;* \(#,##0.00\);_(&quot;$&quot;* &quot;-&quot;??_);_(@_)"/>
    <numFmt numFmtId="166" formatCode="_-* #,##0.00_-;\-* #,##0.00_-;_-* &quot;-&quot;??_-;_-@_-"/>
    <numFmt numFmtId="167" formatCode="&quot;Yes&quot;;&quot;Yes&quot;;&quot;No&quot;"/>
    <numFmt numFmtId="168" formatCode="_-* #,##0.00\ [$€-1]_-;\-* #,##0.00\ [$€-1]_-;_-* &quot;-&quot;??\ [$€-1]_-"/>
    <numFmt numFmtId="169" formatCode="_-&quot;fl&quot;\ * #,##0_-;_-&quot;fl&quot;\ * #,##0\-;_-&quot;fl&quot;\ * &quot;-&quot;_-;_-@_-"/>
    <numFmt numFmtId="170" formatCode="_-&quot;fl&quot;\ * #,##0.00_-;_-&quot;fl&quot;\ * #,##0.00\-;_-&quot;fl&quot;\ * &quot;-&quot;??_-;_-@_-"/>
    <numFmt numFmtId="171" formatCode="&quot;$&quot;#,##0_);&quot;\&quot;\!\(&quot;$&quot;#,##0&quot;\&quot;\!\)"/>
    <numFmt numFmtId="172" formatCode="#,##0\ &quot;F&quot;;\-#,##0\ &quot;F&quot;"/>
    <numFmt numFmtId="173" formatCode="_(* 0,_);_(* \(0,\);_(* &quot;&quot;??_);_(@_)"/>
    <numFmt numFmtId="174" formatCode="#,##0;&quot;\&quot;&quot;\&quot;&quot;\&quot;&quot;\&quot;&quot;\&quot;\!\(#,##0&quot;\&quot;&quot;\&quot;&quot;\&quot;&quot;\&quot;&quot;\&quot;\!\)"/>
    <numFmt numFmtId="175" formatCode="\$#,##0.00;[Red]\-\$#,##0.00"/>
    <numFmt numFmtId="176" formatCode="0.0000%"/>
    <numFmt numFmtId="177" formatCode="&quot;\&quot;&quot;\&quot;&quot;\&quot;&quot;\&quot;&quot;\&quot;\!\$#,##0.00;&quot;\&quot;&quot;\&quot;&quot;\&quot;&quot;\&quot;&quot;\&quot;\!\(&quot;\&quot;&quot;\&quot;&quot;\&quot;&quot;\&quot;&quot;\&quot;\!\$#,##0.00&quot;\&quot;&quot;\&quot;&quot;\&quot;&quot;\&quot;&quot;\&quot;\!\)"/>
    <numFmt numFmtId="178" formatCode="########.00"/>
    <numFmt numFmtId="179" formatCode="mmmm\ d\,\ yyyy"/>
    <numFmt numFmtId="180" formatCode="&quot;\&quot;&quot;\&quot;&quot;\&quot;&quot;\&quot;&quot;\&quot;\!\$#,##0;&quot;\&quot;&quot;\&quot;&quot;\&quot;&quot;\&quot;&quot;\&quot;\!\(&quot;\&quot;&quot;\&quot;&quot;\&quot;&quot;\&quot;&quot;\&quot;\!\$#,##0&quot;\&quot;&quot;\&quot;&quot;\&quot;&quot;\&quot;&quot;\&quot;\!\)"/>
    <numFmt numFmtId="181" formatCode="_-* #,##0\ &quot;F&quot;_-;\-* #,##0\ &quot;F&quot;_-;_-* &quot;-&quot;\ &quot;F&quot;_-;_-@_-"/>
    <numFmt numFmtId="182" formatCode="#,##0\ &quot;F&quot;;[Red]\-#,##0\ &quot;F&quot;"/>
    <numFmt numFmtId="183" formatCode="#,##0.00\ &quot;F&quot;;[Red]\-#,##0.00\ &quot;F&quot;"/>
    <numFmt numFmtId="184" formatCode="0.00_)"/>
    <numFmt numFmtId="185" formatCode="0.0,"/>
    <numFmt numFmtId="186" formatCode="_-* #,##0\ _F_-;\-* #,##0\ _F_-;_-* &quot;-&quot;\ _F_-;_-@_-"/>
    <numFmt numFmtId="187" formatCode="_ &quot;\&quot;* #,##0_ ;_ &quot;\&quot;* \-#,##0_ ;_ &quot;\&quot;* &quot;-&quot;_ ;_ @_ "/>
    <numFmt numFmtId="188" formatCode="_ &quot;\&quot;* #,##0.00_ ;_ &quot;\&quot;* \-#,##0.00_ ;_ &quot;\&quot;* &quot;-&quot;??_ ;_ @_ "/>
  </numFmts>
  <fonts count="14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Helv"/>
      <charset val="204"/>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sz val="12"/>
      <name val="Helv"/>
    </font>
    <font>
      <sz val="10"/>
      <name val="Arial"/>
      <family val="2"/>
    </font>
    <font>
      <sz val="11"/>
      <color theme="0"/>
      <name val="Calibri"/>
      <family val="2"/>
      <scheme val="minor"/>
    </font>
    <font>
      <sz val="11"/>
      <color rgb="FF9C0006"/>
      <name val="Calibri"/>
      <family val="2"/>
      <scheme val="minor"/>
    </font>
    <font>
      <sz val="11"/>
      <color rgb="FF006100"/>
      <name val="Calibri"/>
      <family val="2"/>
      <scheme val="minor"/>
    </font>
    <font>
      <sz val="11"/>
      <color theme="1"/>
      <name val="Calibri"/>
      <family val="2"/>
      <scheme val="minor"/>
    </font>
    <font>
      <b/>
      <sz val="18"/>
      <color theme="3"/>
      <name val="Cambria"/>
      <family val="2"/>
      <scheme val="major"/>
    </font>
    <font>
      <sz val="10"/>
      <color rgb="FF000000"/>
      <name val="Arial"/>
      <family val="2"/>
    </font>
    <font>
      <sz val="12"/>
      <color indexed="81"/>
      <name val="Tahoma"/>
      <family val="2"/>
    </font>
    <font>
      <sz val="8"/>
      <name val="Arial"/>
      <family val="2"/>
    </font>
    <font>
      <sz val="14"/>
      <color theme="1"/>
      <name val="Times New Roman"/>
      <family val="1"/>
    </font>
    <font>
      <b/>
      <sz val="14"/>
      <name val="Times New Roman"/>
      <family val="1"/>
    </font>
    <font>
      <sz val="12"/>
      <name val="Times New Roman"/>
      <family val="1"/>
    </font>
    <font>
      <b/>
      <sz val="12"/>
      <name val="Times New Roman"/>
      <family val="1"/>
    </font>
    <font>
      <b/>
      <sz val="16"/>
      <name val="Times New Roman"/>
      <family val="1"/>
    </font>
    <font>
      <b/>
      <sz val="12"/>
      <color indexed="8"/>
      <name val="Times New Roman"/>
      <family val="1"/>
    </font>
    <font>
      <b/>
      <sz val="11"/>
      <name val="Times New Roman"/>
      <family val="1"/>
    </font>
    <font>
      <sz val="12"/>
      <color indexed="8"/>
      <name val="Times New Roman"/>
      <family val="1"/>
    </font>
    <font>
      <sz val="11"/>
      <name val="Times New Roman"/>
      <family val="1"/>
    </font>
    <font>
      <sz val="14"/>
      <name val="Times New Roman"/>
      <family val="1"/>
    </font>
    <font>
      <sz val="14"/>
      <color theme="1"/>
      <name val="Times New Roman"/>
      <family val="2"/>
    </font>
    <font>
      <sz val="8"/>
      <name val="Arial"/>
      <family val="2"/>
    </font>
    <font>
      <sz val="11"/>
      <color theme="1"/>
      <name val="Times New Roman"/>
      <family val="1"/>
    </font>
    <font>
      <sz val="12"/>
      <color theme="1"/>
      <name val="Times New Roman"/>
      <family val="1"/>
    </font>
    <font>
      <sz val="12"/>
      <name val="Calibri"/>
      <family val="2"/>
    </font>
    <font>
      <sz val="10"/>
      <color theme="1"/>
      <name val="Arial"/>
      <family val="2"/>
    </font>
    <font>
      <sz val="12"/>
      <name val="Cambria"/>
      <family val="1"/>
      <scheme val="major"/>
    </font>
    <font>
      <b/>
      <sz val="10"/>
      <name val="Arial"/>
      <family val="2"/>
    </font>
    <font>
      <b/>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1"/>
      <color theme="10"/>
      <name val="Calibri"/>
      <family val="2"/>
      <scheme val="minor"/>
    </font>
    <font>
      <u/>
      <sz val="11"/>
      <color indexed="12"/>
      <name val="Calibri"/>
      <family val="2"/>
    </font>
    <font>
      <u/>
      <sz val="11"/>
      <color theme="10"/>
      <name val="Calibri"/>
      <family val="2"/>
    </font>
    <font>
      <sz val="18"/>
      <color theme="3"/>
      <name val="Cambria"/>
      <family val="2"/>
      <scheme val="major"/>
    </font>
    <font>
      <u/>
      <sz val="10"/>
      <color indexed="12"/>
      <name val="Arial"/>
      <family val="2"/>
    </font>
    <font>
      <sz val="10"/>
      <color indexed="8"/>
      <name val="Arial"/>
      <family val="2"/>
    </font>
    <font>
      <sz val="12"/>
      <name val="新細明體"/>
      <family val="1"/>
      <charset val="136"/>
    </font>
    <font>
      <sz val="11"/>
      <name val="明朝"/>
      <family val="1"/>
      <charset val="128"/>
    </font>
    <font>
      <sz val="10"/>
      <name val="MS Sans Serif"/>
      <family val="2"/>
    </font>
    <font>
      <sz val="8"/>
      <name val="Times New Roman"/>
      <family val="1"/>
    </font>
    <font>
      <b/>
      <sz val="12"/>
      <name val="Arial"/>
      <family val="2"/>
    </font>
    <font>
      <sz val="10"/>
      <name val="Times New Roman"/>
      <family val="1"/>
    </font>
    <font>
      <sz val="11"/>
      <name val="Arial"/>
      <family val="2"/>
    </font>
    <font>
      <sz val="12"/>
      <name val="바탕체"/>
      <family val="1"/>
      <charset val="129"/>
    </font>
    <font>
      <sz val="11"/>
      <name val="돋움"/>
      <family val="3"/>
      <charset val="129"/>
    </font>
    <font>
      <sz val="9"/>
      <color indexed="8"/>
      <name val="맑은 고딕"/>
      <family val="3"/>
      <charset val="129"/>
    </font>
    <font>
      <sz val="11"/>
      <color indexed="8"/>
      <name val="宋体"/>
      <charset val="134"/>
    </font>
    <font>
      <sz val="9"/>
      <color indexed="9"/>
      <name val="맑은 고딕"/>
      <family val="3"/>
      <charset val="129"/>
    </font>
    <font>
      <sz val="11"/>
      <color indexed="9"/>
      <name val="宋体"/>
      <charset val="134"/>
    </font>
    <font>
      <b/>
      <sz val="10"/>
      <name val="MS Sans Serif"/>
      <family val="2"/>
    </font>
    <font>
      <sz val="12"/>
      <name val="¹ÙÅÁÃ¼"/>
      <family val="1"/>
      <charset val="129"/>
    </font>
    <font>
      <sz val="10"/>
      <name val="Courier"/>
      <family val="3"/>
    </font>
    <font>
      <b/>
      <sz val="10"/>
      <name val="Helv"/>
    </font>
    <font>
      <b/>
      <sz val="12"/>
      <name val="Helv"/>
    </font>
    <font>
      <b/>
      <sz val="11"/>
      <name val="Helv"/>
    </font>
    <font>
      <b/>
      <i/>
      <sz val="16"/>
      <name val="Helv"/>
    </font>
    <font>
      <sz val="10"/>
      <name val="Trebuchet MS"/>
      <family val="2"/>
    </font>
    <font>
      <sz val="11"/>
      <name val="‚l‚r –¾’©"/>
      <charset val="128"/>
    </font>
    <font>
      <sz val="12"/>
      <name val="굴림체"/>
      <family val="3"/>
      <charset val="129"/>
    </font>
    <font>
      <sz val="9"/>
      <color indexed="10"/>
      <name val="맑은 고딕"/>
      <family val="3"/>
      <charset val="129"/>
    </font>
    <font>
      <b/>
      <sz val="9"/>
      <color indexed="52"/>
      <name val="맑은 고딕"/>
      <family val="3"/>
      <charset val="129"/>
    </font>
    <font>
      <b/>
      <sz val="18"/>
      <color indexed="24"/>
      <name val="바탕체"/>
      <family val="1"/>
      <charset val="129"/>
    </font>
    <font>
      <b/>
      <sz val="15"/>
      <color indexed="24"/>
      <name val="바탕체"/>
      <family val="1"/>
      <charset val="129"/>
    </font>
    <font>
      <sz val="9"/>
      <color indexed="20"/>
      <name val="맑은 고딕"/>
      <family val="3"/>
      <charset val="129"/>
    </font>
    <font>
      <sz val="9"/>
      <color indexed="60"/>
      <name val="맑은 고딕"/>
      <family val="3"/>
      <charset val="129"/>
    </font>
    <font>
      <sz val="12"/>
      <name val="뼻뮝"/>
      <family val="1"/>
      <charset val="129"/>
    </font>
    <font>
      <i/>
      <sz val="9"/>
      <color indexed="23"/>
      <name val="맑은 고딕"/>
      <family val="3"/>
      <charset val="129"/>
    </font>
    <font>
      <b/>
      <sz val="9"/>
      <color indexed="9"/>
      <name val="맑은 고딕"/>
      <family val="3"/>
      <charset val="129"/>
    </font>
    <font>
      <sz val="9"/>
      <color indexed="52"/>
      <name val="맑은 고딕"/>
      <family val="3"/>
      <charset val="129"/>
    </font>
    <font>
      <b/>
      <sz val="9"/>
      <color indexed="8"/>
      <name val="맑은 고딕"/>
      <family val="3"/>
      <charset val="129"/>
    </font>
    <font>
      <sz val="9"/>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9"/>
      <color indexed="17"/>
      <name val="맑은 고딕"/>
      <family val="3"/>
      <charset val="129"/>
    </font>
    <font>
      <b/>
      <sz val="9"/>
      <color indexed="63"/>
      <name val="맑은 고딕"/>
      <family val="3"/>
      <charset val="129"/>
    </font>
    <font>
      <sz val="11"/>
      <color indexed="17"/>
      <name val="宋体"/>
      <charset val="134"/>
    </font>
    <font>
      <sz val="11"/>
      <color indexed="20"/>
      <name val="宋体"/>
      <charset val="134"/>
    </font>
    <font>
      <sz val="8"/>
      <name val="楷体_GB2312"/>
      <family val="3"/>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u/>
      <sz val="7.7"/>
      <color theme="10"/>
      <name val="Calibri"/>
      <family val="2"/>
    </font>
    <font>
      <u/>
      <sz val="6.05"/>
      <color theme="10"/>
      <name val="Calibri"/>
      <family val="2"/>
    </font>
    <font>
      <sz val="11"/>
      <color rgb="FF000000"/>
      <name val="Calibri"/>
      <family val="2"/>
      <charset val="204"/>
    </font>
    <font>
      <sz val="11"/>
      <color rgb="FF000000"/>
      <name val="Calibri"/>
      <family val="2"/>
    </font>
    <font>
      <b/>
      <sz val="18"/>
      <color theme="3"/>
      <name val="Cambria"/>
      <family val="2"/>
    </font>
    <font>
      <sz val="18"/>
      <color theme="3"/>
      <name val="Cambria"/>
      <family val="2"/>
    </font>
    <font>
      <sz val="11"/>
      <color indexed="8"/>
      <name val="Calibri"/>
      <family val="2"/>
      <scheme val="minor"/>
    </font>
    <font>
      <sz val="10"/>
      <color theme="1"/>
      <name val="Calibri"/>
      <family val="2"/>
      <scheme val="minor"/>
    </font>
    <font>
      <sz val="10"/>
      <color theme="0"/>
      <name val="Calibri"/>
      <family val="2"/>
      <scheme val="minor"/>
    </font>
    <font>
      <u/>
      <sz val="10"/>
      <color theme="10"/>
      <name val="Arial"/>
      <family val="2"/>
    </font>
    <font>
      <sz val="11"/>
      <color indexed="8"/>
      <name val="宋体"/>
      <family val="3"/>
      <charset val="134"/>
    </font>
    <font>
      <sz val="12"/>
      <name val="宋体"/>
      <family val="3"/>
      <charset val="134"/>
    </font>
    <font>
      <b/>
      <i/>
      <sz val="10"/>
      <name val="Arial"/>
      <family val="2"/>
    </font>
  </fonts>
  <fills count="6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4"/>
      </patternFill>
    </fill>
    <fill>
      <patternFill patternType="solid">
        <fgColor theme="9"/>
      </patternFill>
    </fill>
    <fill>
      <patternFill patternType="solid">
        <fgColor rgb="FFFFC7CE"/>
      </patternFill>
    </fill>
    <fill>
      <patternFill patternType="solid">
        <fgColor rgb="FFC6EFCE"/>
      </patternFill>
    </fill>
    <fill>
      <patternFill patternType="solid">
        <fgColor theme="0" tint="-0.249977111117893"/>
        <bgColor indexed="64"/>
      </patternFill>
    </fill>
    <fill>
      <patternFill patternType="solid">
        <fgColor rgb="FF9D9D9D"/>
        <bgColor indexed="64"/>
      </patternFill>
    </fill>
    <fill>
      <patternFill patternType="solid">
        <fgColor theme="0"/>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00D7D2"/>
        <bgColor indexed="64"/>
      </patternFill>
    </fill>
    <fill>
      <patternFill patternType="solid">
        <fgColor rgb="FFFFFF00"/>
        <bgColor indexed="64"/>
      </patternFill>
    </fill>
    <fill>
      <patternFill patternType="solid">
        <fgColor rgb="FFFF0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mediumGray">
        <fgColor indexed="22"/>
      </patternFill>
    </fill>
    <fill>
      <patternFill patternType="solid">
        <fgColor rgb="FF00B0F0"/>
        <bgColor indexed="64"/>
      </patternFill>
    </fill>
    <fill>
      <patternFill patternType="solid">
        <fgColor theme="3" tint="0.39997558519241921"/>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right/>
      <top/>
      <bottom style="medium">
        <color indexed="64"/>
      </bottom>
      <diagonal/>
    </border>
  </borders>
  <cellStyleXfs count="6501">
    <xf numFmtId="0" fontId="0"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12"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1" fillId="20" borderId="1" applyNumberFormat="0" applyAlignment="0" applyProtection="0"/>
    <xf numFmtId="0" fontId="11" fillId="20" borderId="1" applyNumberFormat="0" applyAlignment="0" applyProtection="0"/>
    <xf numFmtId="0" fontId="12" fillId="21" borderId="2" applyNumberFormat="0" applyAlignment="0" applyProtection="0"/>
    <xf numFmtId="0" fontId="12" fillId="21" borderId="2" applyNumberFormat="0" applyAlignment="0" applyProtection="0"/>
    <xf numFmtId="0" fontId="12" fillId="21" borderId="2" applyNumberFormat="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5" fillId="0" borderId="3" applyNumberFormat="0" applyFill="0" applyAlignment="0" applyProtection="0"/>
    <xf numFmtId="0" fontId="15" fillId="0" borderId="3" applyNumberFormat="0" applyFill="0" applyAlignment="0" applyProtection="0"/>
    <xf numFmtId="0" fontId="15" fillId="0" borderId="3" applyNumberFormat="0" applyFill="0" applyAlignment="0" applyProtection="0"/>
    <xf numFmtId="0" fontId="16" fillId="0" borderId="4" applyNumberFormat="0" applyFill="0" applyAlignment="0" applyProtection="0"/>
    <xf numFmtId="0" fontId="16" fillId="0" borderId="4"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9" fillId="0" borderId="6" applyNumberFormat="0" applyFill="0" applyAlignment="0" applyProtection="0"/>
    <xf numFmtId="0" fontId="19" fillId="0" borderId="6" applyNumberFormat="0" applyFill="0" applyAlignment="0" applyProtection="0"/>
    <xf numFmtId="0" fontId="19" fillId="0" borderId="6" applyNumberFormat="0" applyFill="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3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31" fillId="0" borderId="0"/>
    <xf numFmtId="0" fontId="7" fillId="0" borderId="0"/>
    <xf numFmtId="0" fontId="6" fillId="23" borderId="7" applyNumberFormat="0" applyFont="0" applyAlignment="0" applyProtection="0"/>
    <xf numFmtId="0" fontId="25" fillId="23" borderId="7" applyNumberFormat="0" applyFont="0" applyAlignment="0" applyProtection="0"/>
    <xf numFmtId="0" fontId="25" fillId="23" borderId="7" applyNumberFormat="0" applyFont="0" applyAlignment="0" applyProtection="0"/>
    <xf numFmtId="0" fontId="27" fillId="23" borderId="7" applyNumberFormat="0" applyFont="0" applyAlignment="0" applyProtection="0"/>
    <xf numFmtId="0" fontId="21" fillId="20" borderId="8" applyNumberFormat="0" applyAlignment="0" applyProtection="0"/>
    <xf numFmtId="0" fontId="21" fillId="20" borderId="8" applyNumberFormat="0" applyAlignment="0" applyProtection="0"/>
    <xf numFmtId="0" fontId="21" fillId="20" borderId="8" applyNumberFormat="0" applyAlignment="0" applyProtection="0"/>
    <xf numFmtId="0" fontId="26" fillId="0" borderId="0"/>
    <xf numFmtId="0" fontId="7" fillId="0" borderId="0"/>
    <xf numFmtId="0" fontId="22" fillId="0" borderId="0" applyNumberFormat="0" applyFill="0" applyBorder="0" applyAlignment="0" applyProtection="0"/>
    <xf numFmtId="0" fontId="3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5" fillId="0" borderId="0"/>
    <xf numFmtId="0" fontId="5" fillId="0" borderId="0"/>
    <xf numFmtId="0" fontId="6" fillId="0" borderId="0"/>
    <xf numFmtId="0" fontId="6"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0" borderId="0"/>
    <xf numFmtId="0" fontId="4" fillId="0" borderId="0"/>
    <xf numFmtId="0" fontId="3" fillId="0" borderId="0"/>
    <xf numFmtId="0" fontId="28" fillId="60" borderId="0" applyNumberFormat="0" applyBorder="0" applyAlignment="0" applyProtection="0"/>
    <xf numFmtId="0" fontId="28" fillId="57" borderId="0" applyNumberFormat="0" applyBorder="0" applyAlignment="0" applyProtection="0"/>
    <xf numFmtId="0" fontId="3" fillId="0" borderId="0"/>
    <xf numFmtId="0" fontId="3" fillId="0" borderId="0"/>
    <xf numFmtId="0" fontId="6" fillId="0" borderId="0"/>
    <xf numFmtId="0" fontId="3"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0" borderId="0"/>
    <xf numFmtId="0" fontId="6" fillId="0" borderId="0"/>
    <xf numFmtId="0" fontId="3" fillId="0" borderId="0"/>
    <xf numFmtId="43" fontId="3" fillId="0" borderId="0" applyFont="0" applyFill="0" applyBorder="0" applyAlignment="0" applyProtection="0"/>
    <xf numFmtId="0" fontId="6" fillId="0" borderId="0"/>
    <xf numFmtId="0" fontId="8" fillId="2" borderId="0" applyNumberFormat="0" applyBorder="0" applyAlignment="0" applyProtection="0"/>
    <xf numFmtId="0" fontId="8" fillId="2" borderId="0" applyNumberFormat="0" applyBorder="0" applyAlignment="0" applyProtection="0"/>
    <xf numFmtId="0" fontId="3" fillId="4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3" fillId="46"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 fillId="50"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3" fillId="5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3" fillId="58"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3" fillId="61"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3" fillId="43"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3" fillId="47"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3" fillId="51"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3" fillId="5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3" fillId="59"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3" fillId="62"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12" borderId="0" applyNumberFormat="0" applyBorder="0" applyAlignment="0" applyProtection="0"/>
    <xf numFmtId="0" fontId="28" fillId="44"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28" fillId="4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28" fillId="52"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28" fillId="56"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28" fillId="60"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28" fillId="63"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28" fillId="45"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28" fillId="49"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28" fillId="53"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28" fillId="57"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1" fillId="20" borderId="1" applyNumberFormat="0" applyAlignment="0" applyProtection="0"/>
    <xf numFmtId="0" fontId="61" fillId="39" borderId="26" applyNumberFormat="0" applyAlignment="0" applyProtection="0"/>
    <xf numFmtId="0" fontId="11" fillId="20" borderId="1" applyNumberFormat="0" applyAlignment="0" applyProtection="0"/>
    <xf numFmtId="0" fontId="12" fillId="21" borderId="2" applyNumberFormat="0" applyAlignment="0" applyProtection="0"/>
    <xf numFmtId="0" fontId="12" fillId="21" borderId="2" applyNumberFormat="0" applyAlignment="0" applyProtection="0"/>
    <xf numFmtId="0" fontId="63" fillId="40" borderId="29" applyNumberFormat="0" applyAlignment="0" applyProtection="0"/>
    <xf numFmtId="0" fontId="12" fillId="21" borderId="2" applyNumberFormat="0" applyAlignment="0" applyProtection="0"/>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13" fillId="0" borderId="0" applyNumberFormat="0" applyFill="0" applyBorder="0" applyAlignment="0" applyProtection="0"/>
    <xf numFmtId="0" fontId="13" fillId="0" borderId="0" applyNumberFormat="0" applyFill="0" applyBorder="0" applyAlignment="0" applyProtection="0"/>
    <xf numFmtId="0" fontId="65" fillId="0" borderId="0" applyNumberForma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5" fillId="0" borderId="3" applyNumberFormat="0" applyFill="0" applyAlignment="0" applyProtection="0"/>
    <xf numFmtId="0" fontId="15" fillId="0" borderId="3" applyNumberFormat="0" applyFill="0" applyAlignment="0" applyProtection="0"/>
    <xf numFmtId="0" fontId="55" fillId="0" borderId="23" applyNumberFormat="0" applyFill="0" applyAlignment="0" applyProtection="0"/>
    <xf numFmtId="0" fontId="15" fillId="0" borderId="3" applyNumberFormat="0" applyFill="0" applyAlignment="0" applyProtection="0"/>
    <xf numFmtId="0" fontId="16" fillId="0" borderId="4" applyNumberFormat="0" applyFill="0" applyAlignment="0" applyProtection="0"/>
    <xf numFmtId="0" fontId="16" fillId="0" borderId="4" applyNumberFormat="0" applyFill="0" applyAlignment="0" applyProtection="0"/>
    <xf numFmtId="0" fontId="56" fillId="0" borderId="24"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57" fillId="0" borderId="25"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57" fillId="0" borderId="0" applyNumberFormat="0" applyFill="0" applyBorder="0" applyAlignment="0" applyProtection="0"/>
    <xf numFmtId="0" fontId="17" fillId="0" borderId="0" applyNumberFormat="0" applyFill="0" applyBorder="0" applyAlignment="0" applyProtection="0"/>
    <xf numFmtId="0" fontId="68"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6" fillId="0" borderId="0" applyNumberFormat="0" applyFill="0" applyBorder="0" applyAlignment="0" applyProtection="0"/>
    <xf numFmtId="0" fontId="18" fillId="7" borderId="1" applyNumberFormat="0" applyAlignment="0" applyProtection="0"/>
    <xf numFmtId="0" fontId="18" fillId="7" borderId="1" applyNumberFormat="0" applyAlignment="0" applyProtection="0"/>
    <xf numFmtId="0" fontId="59" fillId="38" borderId="26" applyNumberFormat="0" applyAlignment="0" applyProtection="0"/>
    <xf numFmtId="0" fontId="18" fillId="7" borderId="1" applyNumberFormat="0" applyAlignment="0" applyProtection="0"/>
    <xf numFmtId="0" fontId="19" fillId="0" borderId="6" applyNumberFormat="0" applyFill="0" applyAlignment="0" applyProtection="0"/>
    <xf numFmtId="0" fontId="19" fillId="0" borderId="6" applyNumberFormat="0" applyFill="0" applyAlignment="0" applyProtection="0"/>
    <xf numFmtId="0" fontId="62" fillId="0" borderId="28" applyNumberFormat="0" applyFill="0" applyAlignment="0" applyProtection="0"/>
    <xf numFmtId="0" fontId="19" fillId="0" borderId="6" applyNumberFormat="0" applyFill="0" applyAlignment="0" applyProtection="0"/>
    <xf numFmtId="0" fontId="20" fillId="22" borderId="0" applyNumberFormat="0" applyBorder="0" applyAlignment="0" applyProtection="0"/>
    <xf numFmtId="0" fontId="20" fillId="22" borderId="0" applyNumberFormat="0" applyBorder="0" applyAlignment="0" applyProtection="0"/>
    <xf numFmtId="0" fontId="58" fillId="37" borderId="0" applyNumberFormat="0" applyBorder="0" applyAlignment="0" applyProtection="0"/>
    <xf numFmtId="0" fontId="20" fillId="22" borderId="0" applyNumberFormat="0" applyBorder="0" applyAlignment="0" applyProtection="0"/>
    <xf numFmtId="0" fontId="6" fillId="0" borderId="0"/>
    <xf numFmtId="0" fontId="51" fillId="0" borderId="0"/>
    <xf numFmtId="0" fontId="6" fillId="0" borderId="0"/>
    <xf numFmtId="0" fontId="3" fillId="0" borderId="0"/>
    <xf numFmtId="0" fontId="3" fillId="0" borderId="0"/>
    <xf numFmtId="0" fontId="3" fillId="0" borderId="0"/>
    <xf numFmtId="0" fontId="3" fillId="0" borderId="0"/>
    <xf numFmtId="0" fontId="6" fillId="0" borderId="0"/>
    <xf numFmtId="0" fontId="3" fillId="0" borderId="0"/>
    <xf numFmtId="0" fontId="3"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3" fillId="0" borderId="0"/>
    <xf numFmtId="0" fontId="51" fillId="0" borderId="0"/>
    <xf numFmtId="0" fontId="51" fillId="0" borderId="0"/>
    <xf numFmtId="0" fontId="6" fillId="0" borderId="0"/>
    <xf numFmtId="0" fontId="6" fillId="0" borderId="0"/>
    <xf numFmtId="0" fontId="6" fillId="0" borderId="0"/>
    <xf numFmtId="0" fontId="6"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3" fillId="41" borderId="30"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21" fillId="20" borderId="8" applyNumberFormat="0" applyAlignment="0" applyProtection="0"/>
    <xf numFmtId="0" fontId="21" fillId="20" borderId="8" applyNumberFormat="0" applyAlignment="0" applyProtection="0"/>
    <xf numFmtId="0" fontId="60" fillId="39" borderId="27" applyNumberFormat="0" applyAlignment="0" applyProtection="0"/>
    <xf numFmtId="0" fontId="21" fillId="20" borderId="8" applyNumberFormat="0" applyAlignment="0" applyProtection="0"/>
    <xf numFmtId="9" fontId="6"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0" borderId="9" applyNumberFormat="0" applyFill="0" applyAlignment="0" applyProtection="0"/>
    <xf numFmtId="0" fontId="23" fillId="0" borderId="9" applyNumberFormat="0" applyFill="0" applyAlignment="0" applyProtection="0"/>
    <xf numFmtId="0" fontId="54" fillId="0" borderId="31" applyNumberFormat="0" applyFill="0" applyAlignment="0" applyProtection="0"/>
    <xf numFmtId="0" fontId="23" fillId="0" borderId="9" applyNumberFormat="0" applyFill="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64" fillId="0" borderId="0" applyNumberFormat="0" applyFill="0" applyBorder="0" applyAlignment="0" applyProtection="0"/>
    <xf numFmtId="0" fontId="24" fillId="0" borderId="0" applyNumberFormat="0" applyFill="0" applyBorder="0" applyAlignment="0" applyProtection="0"/>
    <xf numFmtId="0" fontId="69" fillId="0" borderId="0" applyNumberFormat="0" applyFill="0" applyBorder="0" applyAlignment="0" applyProtection="0"/>
    <xf numFmtId="0" fontId="3" fillId="0" borderId="0"/>
    <xf numFmtId="9" fontId="3" fillId="0" borderId="0" applyFont="0" applyFill="0" applyBorder="0" applyAlignment="0" applyProtection="0"/>
    <xf numFmtId="0" fontId="7" fillId="0" borderId="0"/>
    <xf numFmtId="168" fontId="7" fillId="0" borderId="0"/>
    <xf numFmtId="0" fontId="79" fillId="0" borderId="0"/>
    <xf numFmtId="168" fontId="79" fillId="0" borderId="0"/>
    <xf numFmtId="0" fontId="6" fillId="0" borderId="0"/>
    <xf numFmtId="168" fontId="6" fillId="0" borderId="0"/>
    <xf numFmtId="0" fontId="79" fillId="0" borderId="0"/>
    <xf numFmtId="168" fontId="79" fillId="0" borderId="0"/>
    <xf numFmtId="0" fontId="6" fillId="0" borderId="0"/>
    <xf numFmtId="168" fontId="6" fillId="0" borderId="0"/>
    <xf numFmtId="0" fontId="6" fillId="0" borderId="0"/>
    <xf numFmtId="168" fontId="6" fillId="0" borderId="0"/>
    <xf numFmtId="0" fontId="6" fillId="0" borderId="0"/>
    <xf numFmtId="168" fontId="6" fillId="0" borderId="0"/>
    <xf numFmtId="0" fontId="80" fillId="0" borderId="0" applyFont="0" applyFill="0" applyBorder="0" applyAlignment="0" applyProtection="0"/>
    <xf numFmtId="168" fontId="80" fillId="0" borderId="0" applyFont="0" applyFill="0" applyBorder="0" applyAlignment="0" applyProtection="0"/>
    <xf numFmtId="0" fontId="80" fillId="0" borderId="0" applyFont="0" applyFill="0" applyBorder="0" applyAlignment="0" applyProtection="0"/>
    <xf numFmtId="168" fontId="80"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168" fontId="8" fillId="2" borderId="0" applyNumberFormat="0" applyBorder="0" applyAlignment="0" applyProtection="0"/>
    <xf numFmtId="0" fontId="8" fillId="2" borderId="0" applyNumberFormat="0" applyBorder="0" applyAlignment="0" applyProtection="0"/>
    <xf numFmtId="168" fontId="8" fillId="2" borderId="0" applyNumberFormat="0" applyBorder="0" applyAlignment="0" applyProtection="0"/>
    <xf numFmtId="0" fontId="8" fillId="2" borderId="0" applyNumberFormat="0" applyBorder="0" applyAlignment="0" applyProtection="0"/>
    <xf numFmtId="168" fontId="8" fillId="2" borderId="0" applyNumberFormat="0" applyBorder="0" applyAlignment="0" applyProtection="0"/>
    <xf numFmtId="0" fontId="3" fillId="42" borderId="0" applyNumberFormat="0" applyBorder="0" applyAlignment="0" applyProtection="0"/>
    <xf numFmtId="0" fontId="8" fillId="2" borderId="0" applyNumberFormat="0" applyBorder="0" applyAlignment="0" applyProtection="0"/>
    <xf numFmtId="168" fontId="8" fillId="2" borderId="0" applyNumberFormat="0" applyBorder="0" applyAlignment="0" applyProtection="0"/>
    <xf numFmtId="0" fontId="8" fillId="2" borderId="0" applyNumberFormat="0" applyBorder="0" applyAlignment="0" applyProtection="0"/>
    <xf numFmtId="168" fontId="8" fillId="2" borderId="0" applyNumberFormat="0" applyBorder="0" applyAlignment="0" applyProtection="0"/>
    <xf numFmtId="0" fontId="3" fillId="42" borderId="0" applyNumberFormat="0" applyBorder="0" applyAlignment="0" applyProtection="0"/>
    <xf numFmtId="168" fontId="8" fillId="2" borderId="0" applyNumberFormat="0" applyBorder="0" applyAlignment="0" applyProtection="0"/>
    <xf numFmtId="168" fontId="8" fillId="3"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3" fillId="46"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3" fillId="46" borderId="0" applyNumberFormat="0" applyBorder="0" applyAlignment="0" applyProtection="0"/>
    <xf numFmtId="168" fontId="8" fillId="3" borderId="0" applyNumberFormat="0" applyBorder="0" applyAlignment="0" applyProtection="0"/>
    <xf numFmtId="168" fontId="8" fillId="4" borderId="0" applyNumberFormat="0" applyBorder="0" applyAlignment="0" applyProtection="0"/>
    <xf numFmtId="0" fontId="8" fillId="4" borderId="0" applyNumberFormat="0" applyBorder="0" applyAlignment="0" applyProtection="0"/>
    <xf numFmtId="168" fontId="8" fillId="4" borderId="0" applyNumberFormat="0" applyBorder="0" applyAlignment="0" applyProtection="0"/>
    <xf numFmtId="0" fontId="8" fillId="4" borderId="0" applyNumberFormat="0" applyBorder="0" applyAlignment="0" applyProtection="0"/>
    <xf numFmtId="168" fontId="8" fillId="4" borderId="0" applyNumberFormat="0" applyBorder="0" applyAlignment="0" applyProtection="0"/>
    <xf numFmtId="0" fontId="3" fillId="50" borderId="0" applyNumberFormat="0" applyBorder="0" applyAlignment="0" applyProtection="0"/>
    <xf numFmtId="0" fontId="8" fillId="4" borderId="0" applyNumberFormat="0" applyBorder="0" applyAlignment="0" applyProtection="0"/>
    <xf numFmtId="168" fontId="8" fillId="4" borderId="0" applyNumberFormat="0" applyBorder="0" applyAlignment="0" applyProtection="0"/>
    <xf numFmtId="0" fontId="8" fillId="4" borderId="0" applyNumberFormat="0" applyBorder="0" applyAlignment="0" applyProtection="0"/>
    <xf numFmtId="168" fontId="8" fillId="4" borderId="0" applyNumberFormat="0" applyBorder="0" applyAlignment="0" applyProtection="0"/>
    <xf numFmtId="0" fontId="3" fillId="50" borderId="0" applyNumberFormat="0" applyBorder="0" applyAlignment="0" applyProtection="0"/>
    <xf numFmtId="168" fontId="8" fillId="4"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3" fillId="54"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3" fillId="54" borderId="0" applyNumberFormat="0" applyBorder="0" applyAlignment="0" applyProtection="0"/>
    <xf numFmtId="168" fontId="8" fillId="5" borderId="0" applyNumberFormat="0" applyBorder="0" applyAlignment="0" applyProtection="0"/>
    <xf numFmtId="168" fontId="8" fillId="6" borderId="0" applyNumberFormat="0" applyBorder="0" applyAlignment="0" applyProtection="0"/>
    <xf numFmtId="0" fontId="8" fillId="6" borderId="0" applyNumberFormat="0" applyBorder="0" applyAlignment="0" applyProtection="0"/>
    <xf numFmtId="168" fontId="8" fillId="6" borderId="0" applyNumberFormat="0" applyBorder="0" applyAlignment="0" applyProtection="0"/>
    <xf numFmtId="0" fontId="8" fillId="6" borderId="0" applyNumberFormat="0" applyBorder="0" applyAlignment="0" applyProtection="0"/>
    <xf numFmtId="168" fontId="8" fillId="6" borderId="0" applyNumberFormat="0" applyBorder="0" applyAlignment="0" applyProtection="0"/>
    <xf numFmtId="0" fontId="3" fillId="58" borderId="0" applyNumberFormat="0" applyBorder="0" applyAlignment="0" applyProtection="0"/>
    <xf numFmtId="0" fontId="8" fillId="6" borderId="0" applyNumberFormat="0" applyBorder="0" applyAlignment="0" applyProtection="0"/>
    <xf numFmtId="168" fontId="8" fillId="6" borderId="0" applyNumberFormat="0" applyBorder="0" applyAlignment="0" applyProtection="0"/>
    <xf numFmtId="0" fontId="8" fillId="6" borderId="0" applyNumberFormat="0" applyBorder="0" applyAlignment="0" applyProtection="0"/>
    <xf numFmtId="168" fontId="8" fillId="6" borderId="0" applyNumberFormat="0" applyBorder="0" applyAlignment="0" applyProtection="0"/>
    <xf numFmtId="0" fontId="3" fillId="58" borderId="0" applyNumberFormat="0" applyBorder="0" applyAlignment="0" applyProtection="0"/>
    <xf numFmtId="168" fontId="8" fillId="6" borderId="0" applyNumberFormat="0" applyBorder="0" applyAlignment="0" applyProtection="0"/>
    <xf numFmtId="168" fontId="8" fillId="7" borderId="0" applyNumberFormat="0" applyBorder="0" applyAlignment="0" applyProtection="0"/>
    <xf numFmtId="0" fontId="8" fillId="7" borderId="0" applyNumberFormat="0" applyBorder="0" applyAlignment="0" applyProtection="0"/>
    <xf numFmtId="168" fontId="8" fillId="7" borderId="0" applyNumberFormat="0" applyBorder="0" applyAlignment="0" applyProtection="0"/>
    <xf numFmtId="0" fontId="8" fillId="7" borderId="0" applyNumberFormat="0" applyBorder="0" applyAlignment="0" applyProtection="0"/>
    <xf numFmtId="168" fontId="8" fillId="7" borderId="0" applyNumberFormat="0" applyBorder="0" applyAlignment="0" applyProtection="0"/>
    <xf numFmtId="0" fontId="3" fillId="61" borderId="0" applyNumberFormat="0" applyBorder="0" applyAlignment="0" applyProtection="0"/>
    <xf numFmtId="0" fontId="8" fillId="7" borderId="0" applyNumberFormat="0" applyBorder="0" applyAlignment="0" applyProtection="0"/>
    <xf numFmtId="168" fontId="8" fillId="7" borderId="0" applyNumberFormat="0" applyBorder="0" applyAlignment="0" applyProtection="0"/>
    <xf numFmtId="0" fontId="8" fillId="7" borderId="0" applyNumberFormat="0" applyBorder="0" applyAlignment="0" applyProtection="0"/>
    <xf numFmtId="168" fontId="8" fillId="7" borderId="0" applyNumberFormat="0" applyBorder="0" applyAlignment="0" applyProtection="0"/>
    <xf numFmtId="0" fontId="3" fillId="61" borderId="0" applyNumberFormat="0" applyBorder="0" applyAlignment="0" applyProtection="0"/>
    <xf numFmtId="168" fontId="8" fillId="7" borderId="0" applyNumberFormat="0" applyBorder="0" applyAlignment="0" applyProtection="0"/>
    <xf numFmtId="0" fontId="81" fillId="2" borderId="0" applyNumberFormat="0" applyBorder="0" applyAlignment="0" applyProtection="0">
      <alignment vertical="center"/>
    </xf>
    <xf numFmtId="168" fontId="81" fillId="2" borderId="0" applyNumberFormat="0" applyBorder="0" applyAlignment="0" applyProtection="0">
      <alignment vertical="center"/>
    </xf>
    <xf numFmtId="0" fontId="81" fillId="3" borderId="0" applyNumberFormat="0" applyBorder="0" applyAlignment="0" applyProtection="0">
      <alignment vertical="center"/>
    </xf>
    <xf numFmtId="168" fontId="81" fillId="3" borderId="0" applyNumberFormat="0" applyBorder="0" applyAlignment="0" applyProtection="0">
      <alignment vertical="center"/>
    </xf>
    <xf numFmtId="0" fontId="81" fillId="4" borderId="0" applyNumberFormat="0" applyBorder="0" applyAlignment="0" applyProtection="0">
      <alignment vertical="center"/>
    </xf>
    <xf numFmtId="168" fontId="81" fillId="4" borderId="0" applyNumberFormat="0" applyBorder="0" applyAlignment="0" applyProtection="0">
      <alignment vertical="center"/>
    </xf>
    <xf numFmtId="0" fontId="81" fillId="5" borderId="0" applyNumberFormat="0" applyBorder="0" applyAlignment="0" applyProtection="0">
      <alignment vertical="center"/>
    </xf>
    <xf numFmtId="168" fontId="81" fillId="5" borderId="0" applyNumberFormat="0" applyBorder="0" applyAlignment="0" applyProtection="0">
      <alignment vertical="center"/>
    </xf>
    <xf numFmtId="0" fontId="81" fillId="6" borderId="0" applyNumberFormat="0" applyBorder="0" applyAlignment="0" applyProtection="0">
      <alignment vertical="center"/>
    </xf>
    <xf numFmtId="168" fontId="81" fillId="6" borderId="0" applyNumberFormat="0" applyBorder="0" applyAlignment="0" applyProtection="0">
      <alignment vertical="center"/>
    </xf>
    <xf numFmtId="0" fontId="81" fillId="7" borderId="0" applyNumberFormat="0" applyBorder="0" applyAlignment="0" applyProtection="0">
      <alignment vertical="center"/>
    </xf>
    <xf numFmtId="168" fontId="81" fillId="7" borderId="0" applyNumberFormat="0" applyBorder="0" applyAlignment="0" applyProtection="0">
      <alignment vertical="center"/>
    </xf>
    <xf numFmtId="0" fontId="82" fillId="2" borderId="0" applyNumberFormat="0" applyBorder="0" applyAlignment="0" applyProtection="0">
      <alignment vertical="center"/>
    </xf>
    <xf numFmtId="168" fontId="82" fillId="2" borderId="0" applyNumberFormat="0" applyBorder="0" applyAlignment="0" applyProtection="0">
      <alignment vertical="center"/>
    </xf>
    <xf numFmtId="0" fontId="82" fillId="3" borderId="0" applyNumberFormat="0" applyBorder="0" applyAlignment="0" applyProtection="0">
      <alignment vertical="center"/>
    </xf>
    <xf numFmtId="168" fontId="82" fillId="3" borderId="0" applyNumberFormat="0" applyBorder="0" applyAlignment="0" applyProtection="0">
      <alignment vertical="center"/>
    </xf>
    <xf numFmtId="0" fontId="82" fillId="4" borderId="0" applyNumberFormat="0" applyBorder="0" applyAlignment="0" applyProtection="0">
      <alignment vertical="center"/>
    </xf>
    <xf numFmtId="168" fontId="82" fillId="4" borderId="0" applyNumberFormat="0" applyBorder="0" applyAlignment="0" applyProtection="0">
      <alignment vertical="center"/>
    </xf>
    <xf numFmtId="0" fontId="82" fillId="5" borderId="0" applyNumberFormat="0" applyBorder="0" applyAlignment="0" applyProtection="0">
      <alignment vertical="center"/>
    </xf>
    <xf numFmtId="168" fontId="82" fillId="5" borderId="0" applyNumberFormat="0" applyBorder="0" applyAlignment="0" applyProtection="0">
      <alignment vertical="center"/>
    </xf>
    <xf numFmtId="0" fontId="82" fillId="6" borderId="0" applyNumberFormat="0" applyBorder="0" applyAlignment="0" applyProtection="0">
      <alignment vertical="center"/>
    </xf>
    <xf numFmtId="168" fontId="82" fillId="6" borderId="0" applyNumberFormat="0" applyBorder="0" applyAlignment="0" applyProtection="0">
      <alignment vertical="center"/>
    </xf>
    <xf numFmtId="0" fontId="82" fillId="7" borderId="0" applyNumberFormat="0" applyBorder="0" applyAlignment="0" applyProtection="0">
      <alignment vertical="center"/>
    </xf>
    <xf numFmtId="168" fontId="82" fillId="7" borderId="0" applyNumberFormat="0" applyBorder="0" applyAlignment="0" applyProtection="0">
      <alignment vertical="center"/>
    </xf>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3" fillId="43"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3" fillId="43" borderId="0" applyNumberFormat="0" applyBorder="0" applyAlignment="0" applyProtection="0"/>
    <xf numFmtId="168" fontId="8" fillId="8" borderId="0" applyNumberFormat="0" applyBorder="0" applyAlignment="0" applyProtection="0"/>
    <xf numFmtId="168" fontId="8" fillId="9"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3" fillId="47"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8" fillId="9" borderId="0" applyNumberFormat="0" applyBorder="0" applyAlignment="0" applyProtection="0"/>
    <xf numFmtId="168" fontId="8" fillId="9" borderId="0" applyNumberFormat="0" applyBorder="0" applyAlignment="0" applyProtection="0"/>
    <xf numFmtId="0" fontId="3" fillId="47" borderId="0" applyNumberFormat="0" applyBorder="0" applyAlignment="0" applyProtection="0"/>
    <xf numFmtId="168" fontId="8" fillId="9" borderId="0" applyNumberFormat="0" applyBorder="0" applyAlignment="0" applyProtection="0"/>
    <xf numFmtId="168" fontId="8" fillId="10"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3" fillId="51"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8" fillId="10" borderId="0" applyNumberFormat="0" applyBorder="0" applyAlignment="0" applyProtection="0"/>
    <xf numFmtId="168" fontId="8" fillId="10" borderId="0" applyNumberFormat="0" applyBorder="0" applyAlignment="0" applyProtection="0"/>
    <xf numFmtId="0" fontId="3" fillId="51" borderId="0" applyNumberFormat="0" applyBorder="0" applyAlignment="0" applyProtection="0"/>
    <xf numFmtId="168" fontId="8" fillId="10"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3" fillId="5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8" fillId="5" borderId="0" applyNumberFormat="0" applyBorder="0" applyAlignment="0" applyProtection="0"/>
    <xf numFmtId="168" fontId="8" fillId="5" borderId="0" applyNumberFormat="0" applyBorder="0" applyAlignment="0" applyProtection="0"/>
    <xf numFmtId="0" fontId="3" fillId="55" borderId="0" applyNumberFormat="0" applyBorder="0" applyAlignment="0" applyProtection="0"/>
    <xf numFmtId="168" fontId="8" fillId="5"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3" fillId="59"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8" fillId="8" borderId="0" applyNumberFormat="0" applyBorder="0" applyAlignment="0" applyProtection="0"/>
    <xf numFmtId="168" fontId="8" fillId="8" borderId="0" applyNumberFormat="0" applyBorder="0" applyAlignment="0" applyProtection="0"/>
    <xf numFmtId="0" fontId="3" fillId="59" borderId="0" applyNumberFormat="0" applyBorder="0" applyAlignment="0" applyProtection="0"/>
    <xf numFmtId="168" fontId="8" fillId="8" borderId="0" applyNumberFormat="0" applyBorder="0" applyAlignment="0" applyProtection="0"/>
    <xf numFmtId="168" fontId="8" fillId="11" borderId="0" applyNumberFormat="0" applyBorder="0" applyAlignment="0" applyProtection="0"/>
    <xf numFmtId="0" fontId="8" fillId="11" borderId="0" applyNumberFormat="0" applyBorder="0" applyAlignment="0" applyProtection="0"/>
    <xf numFmtId="168" fontId="8" fillId="11" borderId="0" applyNumberFormat="0" applyBorder="0" applyAlignment="0" applyProtection="0"/>
    <xf numFmtId="0" fontId="8" fillId="11" borderId="0" applyNumberFormat="0" applyBorder="0" applyAlignment="0" applyProtection="0"/>
    <xf numFmtId="168" fontId="8" fillId="11" borderId="0" applyNumberFormat="0" applyBorder="0" applyAlignment="0" applyProtection="0"/>
    <xf numFmtId="0" fontId="3" fillId="62" borderId="0" applyNumberFormat="0" applyBorder="0" applyAlignment="0" applyProtection="0"/>
    <xf numFmtId="0" fontId="8" fillId="11" borderId="0" applyNumberFormat="0" applyBorder="0" applyAlignment="0" applyProtection="0"/>
    <xf numFmtId="168" fontId="8" fillId="11" borderId="0" applyNumberFormat="0" applyBorder="0" applyAlignment="0" applyProtection="0"/>
    <xf numFmtId="0" fontId="8" fillId="11" borderId="0" applyNumberFormat="0" applyBorder="0" applyAlignment="0" applyProtection="0"/>
    <xf numFmtId="168" fontId="8" fillId="11" borderId="0" applyNumberFormat="0" applyBorder="0" applyAlignment="0" applyProtection="0"/>
    <xf numFmtId="0" fontId="3" fillId="62" borderId="0" applyNumberFormat="0" applyBorder="0" applyAlignment="0" applyProtection="0"/>
    <xf numFmtId="168" fontId="8" fillId="11" borderId="0" applyNumberFormat="0" applyBorder="0" applyAlignment="0" applyProtection="0"/>
    <xf numFmtId="0" fontId="81" fillId="8" borderId="0" applyNumberFormat="0" applyBorder="0" applyAlignment="0" applyProtection="0">
      <alignment vertical="center"/>
    </xf>
    <xf numFmtId="168" fontId="81" fillId="8" borderId="0" applyNumberFormat="0" applyBorder="0" applyAlignment="0" applyProtection="0">
      <alignment vertical="center"/>
    </xf>
    <xf numFmtId="0" fontId="81" fillId="9" borderId="0" applyNumberFormat="0" applyBorder="0" applyAlignment="0" applyProtection="0">
      <alignment vertical="center"/>
    </xf>
    <xf numFmtId="168" fontId="81" fillId="9" borderId="0" applyNumberFormat="0" applyBorder="0" applyAlignment="0" applyProtection="0">
      <alignment vertical="center"/>
    </xf>
    <xf numFmtId="0" fontId="81" fillId="10" borderId="0" applyNumberFormat="0" applyBorder="0" applyAlignment="0" applyProtection="0">
      <alignment vertical="center"/>
    </xf>
    <xf numFmtId="168" fontId="81" fillId="10" borderId="0" applyNumberFormat="0" applyBorder="0" applyAlignment="0" applyProtection="0">
      <alignment vertical="center"/>
    </xf>
    <xf numFmtId="0" fontId="81" fillId="5" borderId="0" applyNumberFormat="0" applyBorder="0" applyAlignment="0" applyProtection="0">
      <alignment vertical="center"/>
    </xf>
    <xf numFmtId="168" fontId="81" fillId="5" borderId="0" applyNumberFormat="0" applyBorder="0" applyAlignment="0" applyProtection="0">
      <alignment vertical="center"/>
    </xf>
    <xf numFmtId="0" fontId="81" fillId="8" borderId="0" applyNumberFormat="0" applyBorder="0" applyAlignment="0" applyProtection="0">
      <alignment vertical="center"/>
    </xf>
    <xf numFmtId="168" fontId="81" fillId="8" borderId="0" applyNumberFormat="0" applyBorder="0" applyAlignment="0" applyProtection="0">
      <alignment vertical="center"/>
    </xf>
    <xf numFmtId="0" fontId="81" fillId="11" borderId="0" applyNumberFormat="0" applyBorder="0" applyAlignment="0" applyProtection="0">
      <alignment vertical="center"/>
    </xf>
    <xf numFmtId="168" fontId="81" fillId="11" borderId="0" applyNumberFormat="0" applyBorder="0" applyAlignment="0" applyProtection="0">
      <alignment vertical="center"/>
    </xf>
    <xf numFmtId="0" fontId="82" fillId="8" borderId="0" applyNumberFormat="0" applyBorder="0" applyAlignment="0" applyProtection="0">
      <alignment vertical="center"/>
    </xf>
    <xf numFmtId="168" fontId="82" fillId="8" borderId="0" applyNumberFormat="0" applyBorder="0" applyAlignment="0" applyProtection="0">
      <alignment vertical="center"/>
    </xf>
    <xf numFmtId="0" fontId="82" fillId="9" borderId="0" applyNumberFormat="0" applyBorder="0" applyAlignment="0" applyProtection="0">
      <alignment vertical="center"/>
    </xf>
    <xf numFmtId="168" fontId="82" fillId="9" borderId="0" applyNumberFormat="0" applyBorder="0" applyAlignment="0" applyProtection="0">
      <alignment vertical="center"/>
    </xf>
    <xf numFmtId="0" fontId="82" fillId="10" borderId="0" applyNumberFormat="0" applyBorder="0" applyAlignment="0" applyProtection="0">
      <alignment vertical="center"/>
    </xf>
    <xf numFmtId="168" fontId="82" fillId="10" borderId="0" applyNumberFormat="0" applyBorder="0" applyAlignment="0" applyProtection="0">
      <alignment vertical="center"/>
    </xf>
    <xf numFmtId="0" fontId="82" fillId="5" borderId="0" applyNumberFormat="0" applyBorder="0" applyAlignment="0" applyProtection="0">
      <alignment vertical="center"/>
    </xf>
    <xf numFmtId="168" fontId="82" fillId="5" borderId="0" applyNumberFormat="0" applyBorder="0" applyAlignment="0" applyProtection="0">
      <alignment vertical="center"/>
    </xf>
    <xf numFmtId="0" fontId="82" fillId="8" borderId="0" applyNumberFormat="0" applyBorder="0" applyAlignment="0" applyProtection="0">
      <alignment vertical="center"/>
    </xf>
    <xf numFmtId="168" fontId="82" fillId="8" borderId="0" applyNumberFormat="0" applyBorder="0" applyAlignment="0" applyProtection="0">
      <alignment vertical="center"/>
    </xf>
    <xf numFmtId="0" fontId="82" fillId="11" borderId="0" applyNumberFormat="0" applyBorder="0" applyAlignment="0" applyProtection="0">
      <alignment vertical="center"/>
    </xf>
    <xf numFmtId="168" fontId="82" fillId="11" borderId="0" applyNumberFormat="0" applyBorder="0" applyAlignment="0" applyProtection="0">
      <alignment vertical="center"/>
    </xf>
    <xf numFmtId="168" fontId="9" fillId="12" borderId="0" applyNumberFormat="0" applyBorder="0" applyAlignment="0" applyProtection="0"/>
    <xf numFmtId="0" fontId="9" fillId="12" borderId="0" applyNumberFormat="0" applyBorder="0" applyAlignment="0" applyProtection="0"/>
    <xf numFmtId="168" fontId="9" fillId="12" borderId="0" applyNumberFormat="0" applyBorder="0" applyAlignment="0" applyProtection="0"/>
    <xf numFmtId="0" fontId="9" fillId="12" borderId="0" applyNumberFormat="0" applyBorder="0" applyAlignment="0" applyProtection="0"/>
    <xf numFmtId="168" fontId="9" fillId="12" borderId="0" applyNumberFormat="0" applyBorder="0" applyAlignment="0" applyProtection="0"/>
    <xf numFmtId="0" fontId="9" fillId="12" borderId="0" applyNumberFormat="0" applyBorder="0" applyAlignment="0" applyProtection="0"/>
    <xf numFmtId="0" fontId="28" fillId="44" borderId="0" applyNumberFormat="0" applyBorder="0" applyAlignment="0" applyProtection="0"/>
    <xf numFmtId="168" fontId="9" fillId="9" borderId="0" applyNumberFormat="0" applyBorder="0" applyAlignment="0" applyProtection="0"/>
    <xf numFmtId="0" fontId="9" fillId="9" borderId="0" applyNumberFormat="0" applyBorder="0" applyAlignment="0" applyProtection="0"/>
    <xf numFmtId="168" fontId="9" fillId="9" borderId="0" applyNumberFormat="0" applyBorder="0" applyAlignment="0" applyProtection="0"/>
    <xf numFmtId="0" fontId="9" fillId="9" borderId="0" applyNumberFormat="0" applyBorder="0" applyAlignment="0" applyProtection="0"/>
    <xf numFmtId="168" fontId="9" fillId="9" borderId="0" applyNumberFormat="0" applyBorder="0" applyAlignment="0" applyProtection="0"/>
    <xf numFmtId="0" fontId="9" fillId="9" borderId="0" applyNumberFormat="0" applyBorder="0" applyAlignment="0" applyProtection="0"/>
    <xf numFmtId="0" fontId="28" fillId="48" borderId="0" applyNumberFormat="0" applyBorder="0" applyAlignment="0" applyProtection="0"/>
    <xf numFmtId="168" fontId="9" fillId="10" borderId="0" applyNumberFormat="0" applyBorder="0" applyAlignment="0" applyProtection="0"/>
    <xf numFmtId="0" fontId="9" fillId="10" borderId="0" applyNumberFormat="0" applyBorder="0" applyAlignment="0" applyProtection="0"/>
    <xf numFmtId="168" fontId="9" fillId="10" borderId="0" applyNumberFormat="0" applyBorder="0" applyAlignment="0" applyProtection="0"/>
    <xf numFmtId="0" fontId="9" fillId="10" borderId="0" applyNumberFormat="0" applyBorder="0" applyAlignment="0" applyProtection="0"/>
    <xf numFmtId="168" fontId="9" fillId="10" borderId="0" applyNumberFormat="0" applyBorder="0" applyAlignment="0" applyProtection="0"/>
    <xf numFmtId="0" fontId="9" fillId="10" borderId="0" applyNumberFormat="0" applyBorder="0" applyAlignment="0" applyProtection="0"/>
    <xf numFmtId="0" fontId="28" fillId="52"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0" fontId="28" fillId="56"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0" fontId="28" fillId="60" borderId="0" applyNumberFormat="0" applyBorder="0" applyAlignment="0" applyProtection="0"/>
    <xf numFmtId="168" fontId="9" fillId="15" borderId="0" applyNumberFormat="0" applyBorder="0" applyAlignment="0" applyProtection="0"/>
    <xf numFmtId="0" fontId="9" fillId="15" borderId="0" applyNumberFormat="0" applyBorder="0" applyAlignment="0" applyProtection="0"/>
    <xf numFmtId="168" fontId="9" fillId="15" borderId="0" applyNumberFormat="0" applyBorder="0" applyAlignment="0" applyProtection="0"/>
    <xf numFmtId="0" fontId="9" fillId="15" borderId="0" applyNumberFormat="0" applyBorder="0" applyAlignment="0" applyProtection="0"/>
    <xf numFmtId="168" fontId="9" fillId="15" borderId="0" applyNumberFormat="0" applyBorder="0" applyAlignment="0" applyProtection="0"/>
    <xf numFmtId="0" fontId="9" fillId="15" borderId="0" applyNumberFormat="0" applyBorder="0" applyAlignment="0" applyProtection="0"/>
    <xf numFmtId="0" fontId="28" fillId="63" borderId="0" applyNumberFormat="0" applyBorder="0" applyAlignment="0" applyProtection="0"/>
    <xf numFmtId="0" fontId="83" fillId="12" borderId="0" applyNumberFormat="0" applyBorder="0" applyAlignment="0" applyProtection="0">
      <alignment vertical="center"/>
    </xf>
    <xf numFmtId="168" fontId="83" fillId="12" borderId="0" applyNumberFormat="0" applyBorder="0" applyAlignment="0" applyProtection="0">
      <alignment vertical="center"/>
    </xf>
    <xf numFmtId="0" fontId="83" fillId="9" borderId="0" applyNumberFormat="0" applyBorder="0" applyAlignment="0" applyProtection="0">
      <alignment vertical="center"/>
    </xf>
    <xf numFmtId="168" fontId="83" fillId="9" borderId="0" applyNumberFormat="0" applyBorder="0" applyAlignment="0" applyProtection="0">
      <alignment vertical="center"/>
    </xf>
    <xf numFmtId="0" fontId="83" fillId="10" borderId="0" applyNumberFormat="0" applyBorder="0" applyAlignment="0" applyProtection="0">
      <alignment vertical="center"/>
    </xf>
    <xf numFmtId="168" fontId="83" fillId="10" borderId="0" applyNumberFormat="0" applyBorder="0" applyAlignment="0" applyProtection="0">
      <alignment vertical="center"/>
    </xf>
    <xf numFmtId="0" fontId="83" fillId="13" borderId="0" applyNumberFormat="0" applyBorder="0" applyAlignment="0" applyProtection="0">
      <alignment vertical="center"/>
    </xf>
    <xf numFmtId="168" fontId="83" fillId="13" borderId="0" applyNumberFormat="0" applyBorder="0" applyAlignment="0" applyProtection="0">
      <alignment vertical="center"/>
    </xf>
    <xf numFmtId="0" fontId="83" fillId="14" borderId="0" applyNumberFormat="0" applyBorder="0" applyAlignment="0" applyProtection="0">
      <alignment vertical="center"/>
    </xf>
    <xf numFmtId="168" fontId="83" fillId="14" borderId="0" applyNumberFormat="0" applyBorder="0" applyAlignment="0" applyProtection="0">
      <alignment vertical="center"/>
    </xf>
    <xf numFmtId="0" fontId="83" fillId="15" borderId="0" applyNumberFormat="0" applyBorder="0" applyAlignment="0" applyProtection="0">
      <alignment vertical="center"/>
    </xf>
    <xf numFmtId="168" fontId="83" fillId="15" borderId="0" applyNumberFormat="0" applyBorder="0" applyAlignment="0" applyProtection="0">
      <alignment vertical="center"/>
    </xf>
    <xf numFmtId="0" fontId="84" fillId="12" borderId="0" applyNumberFormat="0" applyBorder="0" applyAlignment="0" applyProtection="0">
      <alignment vertical="center"/>
    </xf>
    <xf numFmtId="168" fontId="84" fillId="12" borderId="0" applyNumberFormat="0" applyBorder="0" applyAlignment="0" applyProtection="0">
      <alignment vertical="center"/>
    </xf>
    <xf numFmtId="0" fontId="84" fillId="9" borderId="0" applyNumberFormat="0" applyBorder="0" applyAlignment="0" applyProtection="0">
      <alignment vertical="center"/>
    </xf>
    <xf numFmtId="168" fontId="84" fillId="9" borderId="0" applyNumberFormat="0" applyBorder="0" applyAlignment="0" applyProtection="0">
      <alignment vertical="center"/>
    </xf>
    <xf numFmtId="0" fontId="84" fillId="10" borderId="0" applyNumberFormat="0" applyBorder="0" applyAlignment="0" applyProtection="0">
      <alignment vertical="center"/>
    </xf>
    <xf numFmtId="168" fontId="84" fillId="10" borderId="0" applyNumberFormat="0" applyBorder="0" applyAlignment="0" applyProtection="0">
      <alignment vertical="center"/>
    </xf>
    <xf numFmtId="0" fontId="84" fillId="13" borderId="0" applyNumberFormat="0" applyBorder="0" applyAlignment="0" applyProtection="0">
      <alignment vertical="center"/>
    </xf>
    <xf numFmtId="168" fontId="84" fillId="13" borderId="0" applyNumberFormat="0" applyBorder="0" applyAlignment="0" applyProtection="0">
      <alignment vertical="center"/>
    </xf>
    <xf numFmtId="0" fontId="84" fillId="14" borderId="0" applyNumberFormat="0" applyBorder="0" applyAlignment="0" applyProtection="0">
      <alignment vertical="center"/>
    </xf>
    <xf numFmtId="168" fontId="84" fillId="14" borderId="0" applyNumberFormat="0" applyBorder="0" applyAlignment="0" applyProtection="0">
      <alignment vertical="center"/>
    </xf>
    <xf numFmtId="0" fontId="84" fillId="15" borderId="0" applyNumberFormat="0" applyBorder="0" applyAlignment="0" applyProtection="0">
      <alignment vertical="center"/>
    </xf>
    <xf numFmtId="168" fontId="84" fillId="15" borderId="0" applyNumberFormat="0" applyBorder="0" applyAlignment="0" applyProtection="0">
      <alignment vertical="center"/>
    </xf>
    <xf numFmtId="0" fontId="9" fillId="16"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0" fontId="28" fillId="25" borderId="0" applyNumberFormat="0" applyBorder="0" applyAlignment="0" applyProtection="0"/>
    <xf numFmtId="168" fontId="28" fillId="25"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28" fillId="25"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168"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0" fontId="9" fillId="16" borderId="0" applyNumberFormat="0" applyBorder="0" applyAlignment="0" applyProtection="0"/>
    <xf numFmtId="168" fontId="28" fillId="25" borderId="0" applyNumberFormat="0" applyBorder="0" applyAlignment="0" applyProtection="0"/>
    <xf numFmtId="168" fontId="9" fillId="16" borderId="0" applyNumberFormat="0" applyBorder="0" applyAlignment="0" applyProtection="0"/>
    <xf numFmtId="168" fontId="9" fillId="16" borderId="0" applyNumberFormat="0" applyBorder="0" applyAlignment="0" applyProtection="0"/>
    <xf numFmtId="168" fontId="9" fillId="17" borderId="0" applyNumberFormat="0" applyBorder="0" applyAlignment="0" applyProtection="0"/>
    <xf numFmtId="0" fontId="9" fillId="17" borderId="0" applyNumberFormat="0" applyBorder="0" applyAlignment="0" applyProtection="0"/>
    <xf numFmtId="168" fontId="9" fillId="17" borderId="0" applyNumberFormat="0" applyBorder="0" applyAlignment="0" applyProtection="0"/>
    <xf numFmtId="0" fontId="9" fillId="17" borderId="0" applyNumberFormat="0" applyBorder="0" applyAlignment="0" applyProtection="0"/>
    <xf numFmtId="168" fontId="9" fillId="17" borderId="0" applyNumberFormat="0" applyBorder="0" applyAlignment="0" applyProtection="0"/>
    <xf numFmtId="0" fontId="9" fillId="17" borderId="0" applyNumberFormat="0" applyBorder="0" applyAlignment="0" applyProtection="0"/>
    <xf numFmtId="0" fontId="28" fillId="45" borderId="0" applyNumberFormat="0" applyBorder="0" applyAlignment="0" applyProtection="0"/>
    <xf numFmtId="0" fontId="28" fillId="49" borderId="0" applyNumberFormat="0" applyBorder="0" applyAlignment="0" applyProtection="0"/>
    <xf numFmtId="168" fontId="28" fillId="49" borderId="0" applyNumberFormat="0" applyBorder="0" applyAlignment="0" applyProtection="0"/>
    <xf numFmtId="0" fontId="9" fillId="18" borderId="0" applyNumberFormat="0" applyBorder="0" applyAlignment="0" applyProtection="0"/>
    <xf numFmtId="0" fontId="28" fillId="49" borderId="0" applyNumberFormat="0" applyBorder="0" applyAlignment="0" applyProtection="0"/>
    <xf numFmtId="0" fontId="28" fillId="49" borderId="0" applyNumberFormat="0" applyBorder="0" applyAlignment="0" applyProtection="0"/>
    <xf numFmtId="0" fontId="9" fillId="18" borderId="0" applyNumberFormat="0" applyBorder="0" applyAlignment="0" applyProtection="0"/>
    <xf numFmtId="168" fontId="9" fillId="18" borderId="0" applyNumberFormat="0" applyBorder="0" applyAlignment="0" applyProtection="0"/>
    <xf numFmtId="168" fontId="28" fillId="49" borderId="0" applyNumberFormat="0" applyBorder="0" applyAlignment="0" applyProtection="0"/>
    <xf numFmtId="0" fontId="28" fillId="49" borderId="0" applyNumberFormat="0" applyBorder="0" applyAlignment="0" applyProtection="0"/>
    <xf numFmtId="168" fontId="9" fillId="18" borderId="0" applyNumberFormat="0" applyBorder="0" applyAlignment="0" applyProtection="0"/>
    <xf numFmtId="0" fontId="9" fillId="18" borderId="0" applyNumberFormat="0" applyBorder="0" applyAlignment="0" applyProtection="0"/>
    <xf numFmtId="168" fontId="9" fillId="18" borderId="0" applyNumberFormat="0" applyBorder="0" applyAlignment="0" applyProtection="0"/>
    <xf numFmtId="168" fontId="9" fillId="18" borderId="0" applyNumberFormat="0" applyBorder="0" applyAlignment="0" applyProtection="0"/>
    <xf numFmtId="0" fontId="9" fillId="18" borderId="0" applyNumberFormat="0" applyBorder="0" applyAlignment="0" applyProtection="0"/>
    <xf numFmtId="0" fontId="28" fillId="49" borderId="0" applyNumberFormat="0" applyBorder="0" applyAlignment="0" applyProtection="0"/>
    <xf numFmtId="0" fontId="28" fillId="49" borderId="0" applyNumberFormat="0" applyBorder="0" applyAlignment="0" applyProtection="0"/>
    <xf numFmtId="0" fontId="28" fillId="49" borderId="0" applyNumberFormat="0" applyBorder="0" applyAlignment="0" applyProtection="0"/>
    <xf numFmtId="168" fontId="28" fillId="49" borderId="0" applyNumberFormat="0" applyBorder="0" applyAlignment="0" applyProtection="0"/>
    <xf numFmtId="0" fontId="28" fillId="49" borderId="0" applyNumberFormat="0" applyBorder="0" applyAlignment="0" applyProtection="0"/>
    <xf numFmtId="0" fontId="9" fillId="18"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168" fontId="9" fillId="13" borderId="0" applyNumberFormat="0" applyBorder="0" applyAlignment="0" applyProtection="0"/>
    <xf numFmtId="0" fontId="9" fillId="13" borderId="0" applyNumberFormat="0" applyBorder="0" applyAlignment="0" applyProtection="0"/>
    <xf numFmtId="0" fontId="28" fillId="53"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168" fontId="9" fillId="14" borderId="0" applyNumberFormat="0" applyBorder="0" applyAlignment="0" applyProtection="0"/>
    <xf numFmtId="0" fontId="9" fillId="14" borderId="0" applyNumberFormat="0" applyBorder="0" applyAlignment="0" applyProtection="0"/>
    <xf numFmtId="0" fontId="28" fillId="57"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0" fontId="28" fillId="26" borderId="0" applyNumberFormat="0" applyBorder="0" applyAlignment="0" applyProtection="0"/>
    <xf numFmtId="168" fontId="28" fillId="26"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28" fillId="2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168"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168" fontId="28" fillId="26" borderId="0" applyNumberFormat="0" applyBorder="0" applyAlignment="0" applyProtection="0"/>
    <xf numFmtId="168" fontId="9" fillId="19" borderId="0" applyNumberFormat="0" applyBorder="0" applyAlignment="0" applyProtection="0"/>
    <xf numFmtId="168" fontId="9" fillId="19" borderId="0" applyNumberFormat="0" applyBorder="0" applyAlignment="0" applyProtection="0"/>
    <xf numFmtId="0" fontId="75" fillId="0" borderId="0">
      <alignment horizontal="center" wrapText="1"/>
      <protection locked="0"/>
    </xf>
    <xf numFmtId="168" fontId="75" fillId="0" borderId="0">
      <alignment horizontal="center" wrapText="1"/>
      <protection locked="0"/>
    </xf>
    <xf numFmtId="0" fontId="10" fillId="3"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0" fontId="29" fillId="27" borderId="0" applyNumberFormat="0" applyBorder="0" applyAlignment="0" applyProtection="0"/>
    <xf numFmtId="168" fontId="29" fillId="27"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29" fillId="27"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168"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168" fontId="29" fillId="27" borderId="0" applyNumberFormat="0" applyBorder="0" applyAlignment="0" applyProtection="0"/>
    <xf numFmtId="168" fontId="10" fillId="3" borderId="0" applyNumberFormat="0" applyBorder="0" applyAlignment="0" applyProtection="0"/>
    <xf numFmtId="0" fontId="29" fillId="27" borderId="0" applyNumberFormat="0" applyBorder="0" applyAlignment="0" applyProtection="0"/>
    <xf numFmtId="168" fontId="10" fillId="3" borderId="0" applyNumberFormat="0" applyBorder="0" applyAlignment="0" applyProtection="0"/>
    <xf numFmtId="171" fontId="85" fillId="0" borderId="22" applyAlignment="0" applyProtection="0"/>
    <xf numFmtId="0" fontId="86" fillId="0" borderId="0"/>
    <xf numFmtId="172" fontId="87" fillId="0" borderId="0" applyFill="0" applyBorder="0" applyAlignment="0"/>
    <xf numFmtId="168" fontId="11" fillId="20" borderId="1" applyNumberFormat="0" applyAlignment="0" applyProtection="0"/>
    <xf numFmtId="0" fontId="11" fillId="20" borderId="1" applyNumberFormat="0" applyAlignment="0" applyProtection="0"/>
    <xf numFmtId="168" fontId="11" fillId="20" borderId="1" applyNumberFormat="0" applyAlignment="0" applyProtection="0"/>
    <xf numFmtId="0" fontId="11" fillId="20" borderId="1" applyNumberFormat="0" applyAlignment="0" applyProtection="0"/>
    <xf numFmtId="168" fontId="11" fillId="20" borderId="1" applyNumberFormat="0" applyAlignment="0" applyProtection="0"/>
    <xf numFmtId="0" fontId="11" fillId="20" borderId="1" applyNumberFormat="0" applyAlignment="0" applyProtection="0"/>
    <xf numFmtId="0" fontId="61" fillId="39" borderId="26" applyNumberFormat="0" applyAlignment="0" applyProtection="0"/>
    <xf numFmtId="0" fontId="88" fillId="0" borderId="0"/>
    <xf numFmtId="168" fontId="88" fillId="0" borderId="0"/>
    <xf numFmtId="168" fontId="12" fillId="21" borderId="2" applyNumberFormat="0" applyAlignment="0" applyProtection="0"/>
    <xf numFmtId="0" fontId="12" fillId="21" borderId="2" applyNumberFormat="0" applyAlignment="0" applyProtection="0"/>
    <xf numFmtId="168" fontId="12" fillId="21" borderId="2" applyNumberFormat="0" applyAlignment="0" applyProtection="0"/>
    <xf numFmtId="0" fontId="12" fillId="21" borderId="2" applyNumberFormat="0" applyAlignment="0" applyProtection="0"/>
    <xf numFmtId="168" fontId="12" fillId="21" borderId="2" applyNumberFormat="0" applyAlignment="0" applyProtection="0"/>
    <xf numFmtId="0" fontId="12" fillId="21" borderId="2" applyNumberFormat="0" applyAlignment="0" applyProtection="0"/>
    <xf numFmtId="0" fontId="63" fillId="40" borderId="29" applyNumberFormat="0" applyAlignment="0" applyProtection="0"/>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6" fillId="0" borderId="0"/>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17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6" fillId="0" borderId="0" applyFont="0" applyFill="0" applyBorder="0" applyAlignment="0" applyProtection="0"/>
    <xf numFmtId="174" fontId="77" fillId="0" borderId="0"/>
    <xf numFmtId="40" fontId="74" fillId="0" borderId="0" applyFont="0" applyFill="0" applyBorder="0" applyAlignment="0" applyProtection="0"/>
    <xf numFmtId="175" fontId="77" fillId="0" borderId="0">
      <alignment horizontal="center"/>
    </xf>
    <xf numFmtId="172" fontId="87"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76" fontId="6" fillId="0" borderId="0" applyFont="0" applyFill="0" applyBorder="0" applyAlignment="0" applyProtection="0"/>
    <xf numFmtId="177" fontId="77" fillId="0" borderId="0"/>
    <xf numFmtId="178" fontId="6" fillId="64" borderId="0" applyFont="0" applyBorder="0"/>
    <xf numFmtId="15" fontId="74" fillId="0" borderId="0"/>
    <xf numFmtId="14" fontId="71" fillId="0" borderId="0" applyFill="0" applyBorder="0" applyAlignment="0"/>
    <xf numFmtId="179" fontId="74" fillId="0" borderId="0" applyFont="0" applyFill="0" applyBorder="0" applyProtection="0">
      <alignment horizontal="centerContinuous"/>
    </xf>
    <xf numFmtId="180" fontId="77" fillId="0" borderId="0"/>
    <xf numFmtId="173" fontId="6" fillId="0" borderId="0" applyFill="0" applyBorder="0" applyAlignment="0"/>
    <xf numFmtId="172" fontId="87" fillId="0" borderId="0" applyFill="0" applyBorder="0" applyAlignment="0"/>
    <xf numFmtId="173" fontId="6" fillId="0" borderId="0" applyFill="0" applyBorder="0" applyAlignment="0"/>
    <xf numFmtId="181" fontId="87" fillId="0" borderId="0" applyFill="0" applyBorder="0" applyAlignment="0"/>
    <xf numFmtId="172" fontId="87" fillId="0" borderId="0" applyFill="0" applyBorder="0" applyAlignment="0"/>
    <xf numFmtId="168" fontId="6" fillId="0" borderId="0" applyFont="0" applyFill="0" applyBorder="0" applyAlignment="0" applyProtection="0"/>
    <xf numFmtId="167" fontId="6" fillId="0" borderId="0" applyFont="0" applyFill="0" applyBorder="0" applyAlignment="0" applyProtection="0"/>
    <xf numFmtId="168"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8" fontId="13" fillId="0" borderId="0" applyNumberFormat="0" applyFill="0" applyBorder="0" applyAlignment="0" applyProtection="0"/>
    <xf numFmtId="0" fontId="13" fillId="0" borderId="0" applyNumberFormat="0" applyFill="0" applyBorder="0" applyAlignment="0" applyProtection="0"/>
    <xf numFmtId="168" fontId="13" fillId="0" borderId="0" applyNumberFormat="0" applyFill="0" applyBorder="0" applyAlignment="0" applyProtection="0"/>
    <xf numFmtId="0" fontId="13" fillId="0" borderId="0" applyNumberFormat="0" applyFill="0" applyBorder="0" applyAlignment="0" applyProtection="0"/>
    <xf numFmtId="168" fontId="13" fillId="0" borderId="0" applyNumberFormat="0" applyFill="0" applyBorder="0" applyAlignment="0" applyProtection="0"/>
    <xf numFmtId="0" fontId="13" fillId="0" borderId="0" applyNumberFormat="0" applyFill="0" applyBorder="0" applyAlignment="0" applyProtection="0"/>
    <xf numFmtId="0" fontId="65" fillId="0" borderId="0" applyNumberFormat="0" applyFill="0" applyBorder="0" applyAlignment="0" applyProtection="0"/>
    <xf numFmtId="0" fontId="14" fillId="4"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0" fontId="30" fillId="28" borderId="0" applyNumberFormat="0" applyBorder="0" applyAlignment="0" applyProtection="0"/>
    <xf numFmtId="168" fontId="30" fillId="28"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30" fillId="28"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168"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168" fontId="30" fillId="28" borderId="0" applyNumberFormat="0" applyBorder="0" applyAlignment="0" applyProtection="0"/>
    <xf numFmtId="168" fontId="14" fillId="4" borderId="0" applyNumberFormat="0" applyBorder="0" applyAlignment="0" applyProtection="0"/>
    <xf numFmtId="168" fontId="14" fillId="4" borderId="0" applyNumberFormat="0" applyBorder="0" applyAlignment="0" applyProtection="0"/>
    <xf numFmtId="38" fontId="35" fillId="24" borderId="0" applyNumberFormat="0" applyBorder="0" applyAlignment="0" applyProtection="0"/>
    <xf numFmtId="0" fontId="89" fillId="0" borderId="0">
      <alignment horizontal="left"/>
    </xf>
    <xf numFmtId="168" fontId="89" fillId="0" borderId="0">
      <alignment horizontal="left"/>
    </xf>
    <xf numFmtId="0" fontId="76" fillId="0" borderId="32" applyNumberFormat="0" applyAlignment="0" applyProtection="0">
      <alignment horizontal="left" vertical="center"/>
    </xf>
    <xf numFmtId="168" fontId="76" fillId="0" borderId="32" applyNumberFormat="0" applyAlignment="0" applyProtection="0">
      <alignment horizontal="left" vertical="center"/>
    </xf>
    <xf numFmtId="0" fontId="76" fillId="0" borderId="20">
      <alignment horizontal="left" vertical="center"/>
    </xf>
    <xf numFmtId="168" fontId="76" fillId="0" borderId="20">
      <alignment horizontal="left" vertical="center"/>
    </xf>
    <xf numFmtId="168" fontId="15" fillId="0" borderId="3" applyNumberFormat="0" applyFill="0" applyAlignment="0" applyProtection="0"/>
    <xf numFmtId="0" fontId="15" fillId="0" borderId="3" applyNumberFormat="0" applyFill="0" applyAlignment="0" applyProtection="0"/>
    <xf numFmtId="168" fontId="15" fillId="0" borderId="3" applyNumberFormat="0" applyFill="0" applyAlignment="0" applyProtection="0"/>
    <xf numFmtId="0" fontId="15" fillId="0" borderId="3" applyNumberFormat="0" applyFill="0" applyAlignment="0" applyProtection="0"/>
    <xf numFmtId="168" fontId="15" fillId="0" borderId="3" applyNumberFormat="0" applyFill="0" applyAlignment="0" applyProtection="0"/>
    <xf numFmtId="0" fontId="15" fillId="0" borderId="3" applyNumberFormat="0" applyFill="0" applyAlignment="0" applyProtection="0"/>
    <xf numFmtId="0" fontId="55" fillId="0" borderId="23" applyNumberFormat="0" applyFill="0" applyAlignment="0" applyProtection="0"/>
    <xf numFmtId="168" fontId="16" fillId="0" borderId="4" applyNumberFormat="0" applyFill="0" applyAlignment="0" applyProtection="0"/>
    <xf numFmtId="0" fontId="16" fillId="0" borderId="4" applyNumberFormat="0" applyFill="0" applyAlignment="0" applyProtection="0"/>
    <xf numFmtId="168" fontId="16" fillId="0" borderId="4" applyNumberFormat="0" applyFill="0" applyAlignment="0" applyProtection="0"/>
    <xf numFmtId="0" fontId="16" fillId="0" borderId="4" applyNumberFormat="0" applyFill="0" applyAlignment="0" applyProtection="0"/>
    <xf numFmtId="168" fontId="16" fillId="0" borderId="4" applyNumberFormat="0" applyFill="0" applyAlignment="0" applyProtection="0"/>
    <xf numFmtId="0" fontId="16" fillId="0" borderId="4" applyNumberFormat="0" applyFill="0" applyAlignment="0" applyProtection="0"/>
    <xf numFmtId="0" fontId="56" fillId="0" borderId="24" applyNumberFormat="0" applyFill="0" applyAlignment="0" applyProtection="0"/>
    <xf numFmtId="168" fontId="17" fillId="0" borderId="5" applyNumberFormat="0" applyFill="0" applyAlignment="0" applyProtection="0"/>
    <xf numFmtId="0" fontId="17" fillId="0" borderId="5" applyNumberFormat="0" applyFill="0" applyAlignment="0" applyProtection="0"/>
    <xf numFmtId="168" fontId="17" fillId="0" borderId="5" applyNumberFormat="0" applyFill="0" applyAlignment="0" applyProtection="0"/>
    <xf numFmtId="0" fontId="17" fillId="0" borderId="5" applyNumberFormat="0" applyFill="0" applyAlignment="0" applyProtection="0"/>
    <xf numFmtId="168" fontId="17" fillId="0" borderId="5"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17" fillId="0" borderId="5" applyNumberFormat="0" applyFill="0" applyAlignment="0" applyProtection="0"/>
    <xf numFmtId="0" fontId="57" fillId="0" borderId="25" applyNumberFormat="0" applyFill="0" applyAlignment="0" applyProtection="0"/>
    <xf numFmtId="168" fontId="17" fillId="0" borderId="0" applyNumberFormat="0" applyFill="0" applyBorder="0" applyAlignment="0" applyProtection="0"/>
    <xf numFmtId="0" fontId="17" fillId="0" borderId="0" applyNumberFormat="0" applyFill="0" applyBorder="0" applyAlignment="0" applyProtection="0"/>
    <xf numFmtId="168" fontId="17" fillId="0" borderId="0" applyNumberFormat="0" applyFill="0" applyBorder="0" applyAlignment="0" applyProtection="0"/>
    <xf numFmtId="0" fontId="17" fillId="0" borderId="0" applyNumberFormat="0" applyFill="0" applyBorder="0" applyAlignment="0" applyProtection="0"/>
    <xf numFmtId="168" fontId="17" fillId="0" borderId="0" applyNumberFormat="0" applyFill="0" applyBorder="0" applyAlignment="0" applyProtection="0"/>
    <xf numFmtId="0" fontId="17" fillId="0" borderId="0" applyNumberFormat="0" applyFill="0" applyBorder="0" applyAlignment="0" applyProtection="0"/>
    <xf numFmtId="0" fontId="57" fillId="0" borderId="0" applyNumberFormat="0" applyFill="0" applyBorder="0" applyAlignment="0" applyProtection="0"/>
    <xf numFmtId="0" fontId="67"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70"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70" fillId="0" borderId="0" applyNumberFormat="0" applyFill="0" applyBorder="0" applyAlignment="0" applyProtection="0">
      <alignment vertical="top"/>
      <protection locked="0"/>
    </xf>
    <xf numFmtId="168" fontId="70" fillId="0" borderId="0" applyNumberFormat="0" applyFill="0" applyBorder="0" applyAlignment="0" applyProtection="0">
      <alignment vertical="top"/>
      <protection locked="0"/>
    </xf>
    <xf numFmtId="0" fontId="70"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168" fontId="129" fillId="0" borderId="0" applyNumberFormat="0" applyFill="0" applyBorder="0" applyAlignment="0" applyProtection="0">
      <alignment vertical="top"/>
      <protection locked="0"/>
    </xf>
    <xf numFmtId="0" fontId="129"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70" fillId="0" borderId="0" applyNumberFormat="0" applyFill="0" applyBorder="0" applyAlignment="0" applyProtection="0">
      <alignment vertical="top"/>
      <protection locked="0"/>
    </xf>
    <xf numFmtId="0" fontId="66" fillId="0" borderId="0" applyNumberFormat="0" applyFill="0" applyBorder="0" applyAlignment="0" applyProtection="0"/>
    <xf numFmtId="0" fontId="130"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6" fillId="0" borderId="0" applyNumberFormat="0" applyFill="0" applyBorder="0" applyAlignment="0" applyProtection="0"/>
    <xf numFmtId="0" fontId="79" fillId="0" borderId="0" applyFont="0" applyFill="0" applyBorder="0" applyAlignment="0" applyProtection="0"/>
    <xf numFmtId="168" fontId="79" fillId="0" borderId="0" applyFont="0" applyFill="0" applyBorder="0" applyAlignment="0" applyProtection="0"/>
    <xf numFmtId="10" fontId="35" fillId="24" borderId="10" applyNumberFormat="0" applyBorder="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59" fillId="38" borderId="26"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18" fillId="7" borderId="1" applyNumberFormat="0" applyAlignment="0" applyProtection="0"/>
    <xf numFmtId="168" fontId="18" fillId="7" borderId="1" applyNumberFormat="0" applyAlignment="0" applyProtection="0"/>
    <xf numFmtId="0" fontId="79" fillId="0" borderId="0" applyFont="0" applyFill="0" applyBorder="0" applyAlignment="0" applyProtection="0"/>
    <xf numFmtId="168" fontId="79" fillId="0" borderId="0" applyFont="0" applyFill="0" applyBorder="0" applyAlignment="0" applyProtection="0"/>
    <xf numFmtId="173" fontId="6" fillId="0" borderId="0" applyFill="0" applyBorder="0" applyAlignment="0"/>
    <xf numFmtId="172" fontId="87" fillId="0" borderId="0" applyFill="0" applyBorder="0" applyAlignment="0"/>
    <xf numFmtId="173" fontId="6" fillId="0" borderId="0" applyFill="0" applyBorder="0" applyAlignment="0"/>
    <xf numFmtId="181" fontId="87" fillId="0" borderId="0" applyFill="0" applyBorder="0" applyAlignment="0"/>
    <xf numFmtId="172" fontId="87" fillId="0" borderId="0" applyFill="0" applyBorder="0" applyAlignment="0"/>
    <xf numFmtId="168" fontId="19" fillId="0" borderId="6" applyNumberFormat="0" applyFill="0" applyAlignment="0" applyProtection="0"/>
    <xf numFmtId="0" fontId="19" fillId="0" borderId="6" applyNumberFormat="0" applyFill="0" applyAlignment="0" applyProtection="0"/>
    <xf numFmtId="168" fontId="19" fillId="0" borderId="6" applyNumberFormat="0" applyFill="0" applyAlignment="0" applyProtection="0"/>
    <xf numFmtId="0" fontId="19" fillId="0" borderId="6" applyNumberFormat="0" applyFill="0" applyAlignment="0" applyProtection="0"/>
    <xf numFmtId="168" fontId="19" fillId="0" borderId="6" applyNumberFormat="0" applyFill="0" applyAlignment="0" applyProtection="0"/>
    <xf numFmtId="0" fontId="19" fillId="0" borderId="6" applyNumberFormat="0" applyFill="0" applyAlignment="0" applyProtection="0"/>
    <xf numFmtId="0" fontId="62" fillId="0" borderId="28" applyNumberFormat="0" applyFill="0" applyAlignment="0" applyProtection="0"/>
    <xf numFmtId="38" fontId="74" fillId="0" borderId="0" applyFont="0" applyFill="0" applyBorder="0" applyAlignment="0" applyProtection="0"/>
    <xf numFmtId="40" fontId="74" fillId="0" borderId="0" applyFont="0" applyFill="0" applyBorder="0" applyAlignment="0" applyProtection="0"/>
    <xf numFmtId="0" fontId="90" fillId="0" borderId="33"/>
    <xf numFmtId="168" fontId="90" fillId="0" borderId="33"/>
    <xf numFmtId="0" fontId="90" fillId="0" borderId="33"/>
    <xf numFmtId="182" fontId="74" fillId="0" borderId="0" applyFont="0" applyFill="0" applyBorder="0" applyAlignment="0" applyProtection="0"/>
    <xf numFmtId="183" fontId="74" fillId="0" borderId="0" applyFont="0" applyFill="0" applyBorder="0" applyAlignment="0" applyProtection="0"/>
    <xf numFmtId="168" fontId="20" fillId="22" borderId="0" applyNumberFormat="0" applyBorder="0" applyAlignment="0" applyProtection="0"/>
    <xf numFmtId="0" fontId="20" fillId="22" borderId="0" applyNumberFormat="0" applyBorder="0" applyAlignment="0" applyProtection="0"/>
    <xf numFmtId="168" fontId="20" fillId="22" borderId="0" applyNumberFormat="0" applyBorder="0" applyAlignment="0" applyProtection="0"/>
    <xf numFmtId="0" fontId="20" fillId="22" borderId="0" applyNumberFormat="0" applyBorder="0" applyAlignment="0" applyProtection="0"/>
    <xf numFmtId="168" fontId="20" fillId="22" borderId="0" applyNumberFormat="0" applyBorder="0" applyAlignment="0" applyProtection="0"/>
    <xf numFmtId="0" fontId="20" fillId="22" borderId="0" applyNumberFormat="0" applyBorder="0" applyAlignment="0" applyProtection="0"/>
    <xf numFmtId="0" fontId="58" fillId="37" borderId="0" applyNumberFormat="0" applyBorder="0" applyAlignment="0" applyProtection="0"/>
    <xf numFmtId="184" fontId="91" fillId="0" borderId="0"/>
    <xf numFmtId="0" fontId="3" fillId="0" borderId="0"/>
    <xf numFmtId="0" fontId="6" fillId="0" borderId="0"/>
    <xf numFmtId="0" fontId="3" fillId="0" borderId="0"/>
    <xf numFmtId="168" fontId="6" fillId="0" borderId="0"/>
    <xf numFmtId="0" fontId="3" fillId="0" borderId="0"/>
    <xf numFmtId="0" fontId="6" fillId="0" borderId="0"/>
    <xf numFmtId="0" fontId="6" fillId="0" borderId="0"/>
    <xf numFmtId="0" fontId="3"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168" fontId="3" fillId="0" borderId="0"/>
    <xf numFmtId="0" fontId="3" fillId="0" borderId="0"/>
    <xf numFmtId="168" fontId="3" fillId="0" borderId="0"/>
    <xf numFmtId="0" fontId="6"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0" fontId="6" fillId="0" borderId="0"/>
    <xf numFmtId="168" fontId="6" fillId="0" borderId="0"/>
    <xf numFmtId="0" fontId="6"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168" fontId="3" fillId="0" borderId="0"/>
    <xf numFmtId="0" fontId="74" fillId="0" borderId="0"/>
    <xf numFmtId="0" fontId="74" fillId="0" borderId="0"/>
    <xf numFmtId="168" fontId="74" fillId="0" borderId="0"/>
    <xf numFmtId="0" fontId="6" fillId="0" borderId="0"/>
    <xf numFmtId="168" fontId="74" fillId="0" borderId="0"/>
    <xf numFmtId="0" fontId="6" fillId="0" borderId="0"/>
    <xf numFmtId="0" fontId="74"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3" fillId="0" borderId="0"/>
    <xf numFmtId="0" fontId="6" fillId="0" borderId="0"/>
    <xf numFmtId="168" fontId="6" fillId="0" borderId="0"/>
    <xf numFmtId="168" fontId="6" fillId="0" borderId="0"/>
    <xf numFmtId="0" fontId="3" fillId="0" borderId="0"/>
    <xf numFmtId="0" fontId="6" fillId="0" borderId="0"/>
    <xf numFmtId="0" fontId="6" fillId="0" borderId="0"/>
    <xf numFmtId="0" fontId="6" fillId="0" borderId="0"/>
    <xf numFmtId="0" fontId="3" fillId="0" borderId="0"/>
    <xf numFmtId="168"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168" fontId="6" fillId="0" borderId="0"/>
    <xf numFmtId="0" fontId="6" fillId="0" borderId="0"/>
    <xf numFmtId="0" fontId="6" fillId="0" borderId="0"/>
    <xf numFmtId="0" fontId="3"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168" fontId="6" fillId="0" borderId="0"/>
    <xf numFmtId="0" fontId="6" fillId="0" borderId="0"/>
    <xf numFmtId="168" fontId="6" fillId="0" borderId="0"/>
    <xf numFmtId="0" fontId="3" fillId="0" borderId="0"/>
    <xf numFmtId="168" fontId="3" fillId="0" borderId="0"/>
    <xf numFmtId="0" fontId="6" fillId="0" borderId="0"/>
    <xf numFmtId="0" fontId="8" fillId="0" borderId="0"/>
    <xf numFmtId="168" fontId="8" fillId="0" borderId="0"/>
    <xf numFmtId="0" fontId="131" fillId="0" borderId="0"/>
    <xf numFmtId="0" fontId="8" fillId="0" borderId="0"/>
    <xf numFmtId="168" fontId="131" fillId="0" borderId="0"/>
    <xf numFmtId="0" fontId="8" fillId="0" borderId="0"/>
    <xf numFmtId="0" fontId="6" fillId="0" borderId="0"/>
    <xf numFmtId="0" fontId="8" fillId="0" borderId="0"/>
    <xf numFmtId="0" fontId="51" fillId="0" borderId="0"/>
    <xf numFmtId="0" fontId="8" fillId="0" borderId="0"/>
    <xf numFmtId="0" fontId="8" fillId="0" borderId="0"/>
    <xf numFmtId="0" fontId="8" fillId="0" borderId="0"/>
    <xf numFmtId="168" fontId="6" fillId="0" borderId="0"/>
    <xf numFmtId="0" fontId="6" fillId="0" borderId="0"/>
    <xf numFmtId="0" fontId="8" fillId="0" borderId="0"/>
    <xf numFmtId="168" fontId="6" fillId="0" borderId="0"/>
    <xf numFmtId="0" fontId="78"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3" fillId="0" borderId="0"/>
    <xf numFmtId="0" fontId="6" fillId="0" borderId="0"/>
    <xf numFmtId="0" fontId="3" fillId="0" borderId="0"/>
    <xf numFmtId="0" fontId="3" fillId="0" borderId="0"/>
    <xf numFmtId="0" fontId="6" fillId="0" borderId="0"/>
    <xf numFmtId="0" fontId="3" fillId="0" borderId="0"/>
    <xf numFmtId="0" fontId="3" fillId="0" borderId="0"/>
    <xf numFmtId="0" fontId="74" fillId="0" borderId="0"/>
    <xf numFmtId="168" fontId="74" fillId="0" borderId="0"/>
    <xf numFmtId="0" fontId="74" fillId="0" borderId="0"/>
    <xf numFmtId="0" fontId="74" fillId="0" borderId="0"/>
    <xf numFmtId="168" fontId="74" fillId="0" borderId="0"/>
    <xf numFmtId="0" fontId="74" fillId="0" borderId="0"/>
    <xf numFmtId="0" fontId="3" fillId="0" borderId="0"/>
    <xf numFmtId="0" fontId="3" fillId="0" borderId="0"/>
    <xf numFmtId="0" fontId="3" fillId="0" borderId="0"/>
    <xf numFmtId="0" fontId="6"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6" fillId="0" borderId="0"/>
    <xf numFmtId="0" fontId="3" fillId="0" borderId="0"/>
    <xf numFmtId="0" fontId="3" fillId="0" borderId="0"/>
    <xf numFmtId="0" fontId="74" fillId="0" borderId="0"/>
    <xf numFmtId="168" fontId="74" fillId="0" borderId="0"/>
    <xf numFmtId="0" fontId="74" fillId="0" borderId="0"/>
    <xf numFmtId="0" fontId="74" fillId="0" borderId="0"/>
    <xf numFmtId="168" fontId="74" fillId="0" borderId="0"/>
    <xf numFmtId="0" fontId="74" fillId="0" borderId="0"/>
    <xf numFmtId="0" fontId="3" fillId="0" borderId="0"/>
    <xf numFmtId="0" fontId="3" fillId="0" borderId="0"/>
    <xf numFmtId="0" fontId="3"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3" fillId="0" borderId="0"/>
    <xf numFmtId="0" fontId="3" fillId="0" borderId="0"/>
    <xf numFmtId="0" fontId="3" fillId="0" borderId="0"/>
    <xf numFmtId="0" fontId="3" fillId="0" borderId="0"/>
    <xf numFmtId="0" fontId="3" fillId="0" borderId="0"/>
    <xf numFmtId="0" fontId="6" fillId="0" borderId="0"/>
    <xf numFmtId="0" fontId="3" fillId="0" borderId="0"/>
    <xf numFmtId="0" fontId="6" fillId="0" borderId="0"/>
    <xf numFmtId="0" fontId="6" fillId="0" borderId="0"/>
    <xf numFmtId="0" fontId="6" fillId="0" borderId="0"/>
    <xf numFmtId="0" fontId="6" fillId="0" borderId="0"/>
    <xf numFmtId="168" fontId="6" fillId="0" borderId="0"/>
    <xf numFmtId="0" fontId="6" fillId="0" borderId="0"/>
    <xf numFmtId="0" fontId="8" fillId="0" borderId="0" applyNumberFormat="0" applyFont="0" applyFill="0" applyBorder="0" applyAlignment="0" applyProtection="0"/>
    <xf numFmtId="0" fontId="8" fillId="0" borderId="0" applyNumberFormat="0" applyFont="0" applyFill="0" applyBorder="0" applyAlignment="0" applyProtection="0"/>
    <xf numFmtId="0" fontId="3" fillId="0" borderId="0"/>
    <xf numFmtId="168" fontId="3" fillId="0" borderId="0"/>
    <xf numFmtId="168" fontId="3" fillId="0" borderId="0"/>
    <xf numFmtId="0" fontId="6" fillId="0" borderId="0"/>
    <xf numFmtId="0" fontId="3" fillId="0" borderId="0"/>
    <xf numFmtId="0" fontId="3" fillId="0" borderId="0"/>
    <xf numFmtId="0" fontId="6" fillId="0" borderId="0"/>
    <xf numFmtId="0" fontId="6" fillId="0" borderId="0"/>
    <xf numFmtId="0" fontId="3" fillId="0" borderId="0"/>
    <xf numFmtId="0" fontId="6" fillId="0" borderId="0"/>
    <xf numFmtId="0" fontId="6" fillId="0" borderId="0"/>
    <xf numFmtId="168"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6"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3" fillId="0" borderId="0"/>
    <xf numFmtId="0" fontId="3" fillId="0" borderId="0"/>
    <xf numFmtId="0" fontId="3" fillId="0" borderId="0"/>
    <xf numFmtId="0" fontId="6" fillId="0" borderId="0"/>
    <xf numFmtId="0" fontId="6" fillId="0" borderId="0"/>
    <xf numFmtId="0" fontId="6" fillId="0" borderId="0"/>
    <xf numFmtId="0" fontId="6" fillId="0" borderId="0"/>
    <xf numFmtId="0" fontId="3" fillId="0" borderId="0"/>
    <xf numFmtId="0" fontId="3" fillId="0" borderId="0"/>
    <xf numFmtId="0" fontId="3" fillId="0" borderId="0"/>
    <xf numFmtId="0" fontId="6" fillId="0" borderId="0"/>
    <xf numFmtId="168" fontId="6" fillId="0" borderId="0"/>
    <xf numFmtId="0" fontId="3" fillId="0" borderId="0"/>
    <xf numFmtId="0" fontId="3" fillId="0" borderId="0"/>
    <xf numFmtId="0" fontId="6" fillId="0" borderId="0"/>
    <xf numFmtId="0" fontId="6" fillId="0" borderId="0"/>
    <xf numFmtId="0" fontId="3" fillId="0" borderId="0"/>
    <xf numFmtId="0" fontId="3" fillId="0" borderId="0"/>
    <xf numFmtId="0" fontId="6" fillId="0" borderId="0"/>
    <xf numFmtId="0" fontId="6" fillId="0" borderId="0"/>
    <xf numFmtId="0" fontId="3" fillId="0" borderId="0"/>
    <xf numFmtId="0" fontId="3" fillId="0" borderId="0"/>
    <xf numFmtId="0" fontId="3" fillId="0" borderId="0"/>
    <xf numFmtId="0" fontId="3" fillId="0" borderId="0"/>
    <xf numFmtId="168" fontId="3" fillId="0" borderId="0"/>
    <xf numFmtId="0" fontId="6" fillId="0" borderId="0"/>
    <xf numFmtId="0" fontId="6" fillId="0" borderId="0"/>
    <xf numFmtId="168" fontId="6"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168" fontId="6" fillId="0" borderId="0"/>
    <xf numFmtId="0" fontId="6" fillId="0" borderId="0"/>
    <xf numFmtId="0" fontId="6" fillId="0" borderId="0"/>
    <xf numFmtId="0" fontId="3" fillId="0" borderId="0"/>
    <xf numFmtId="0" fontId="6" fillId="0" borderId="0"/>
    <xf numFmtId="0" fontId="3" fillId="0" borderId="0"/>
    <xf numFmtId="0" fontId="6" fillId="0" borderId="0"/>
    <xf numFmtId="0" fontId="6" fillId="0" borderId="0"/>
    <xf numFmtId="168" fontId="3" fillId="0" borderId="0"/>
    <xf numFmtId="0" fontId="3" fillId="0" borderId="0"/>
    <xf numFmtId="0" fontId="3" fillId="0" borderId="0"/>
    <xf numFmtId="0" fontId="6" fillId="0" borderId="0"/>
    <xf numFmtId="168" fontId="6" fillId="0" borderId="0"/>
    <xf numFmtId="0"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0" fontId="3" fillId="0" borderId="0"/>
    <xf numFmtId="0" fontId="6" fillId="0" borderId="0"/>
    <xf numFmtId="0" fontId="3" fillId="0" borderId="0"/>
    <xf numFmtId="168" fontId="3" fillId="0" borderId="0"/>
    <xf numFmtId="0" fontId="74" fillId="0" borderId="0"/>
    <xf numFmtId="168" fontId="74" fillId="0" borderId="0"/>
    <xf numFmtId="0" fontId="74" fillId="0" borderId="0"/>
    <xf numFmtId="0" fontId="3" fillId="0" borderId="0"/>
    <xf numFmtId="168" fontId="74" fillId="0" borderId="0"/>
    <xf numFmtId="0" fontId="6" fillId="0" borderId="0"/>
    <xf numFmtId="0" fontId="74" fillId="0" borderId="0"/>
    <xf numFmtId="0" fontId="74" fillId="0" borderId="0"/>
    <xf numFmtId="0" fontId="3" fillId="0" borderId="0"/>
    <xf numFmtId="0" fontId="3" fillId="0" borderId="0"/>
    <xf numFmtId="0" fontId="6" fillId="0" borderId="0"/>
    <xf numFmtId="0" fontId="3" fillId="0" borderId="0"/>
    <xf numFmtId="168" fontId="3" fillId="0" borderId="0"/>
    <xf numFmtId="0" fontId="74" fillId="0" borderId="0"/>
    <xf numFmtId="0" fontId="3" fillId="0" borderId="0"/>
    <xf numFmtId="0" fontId="74"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0" fontId="3" fillId="0" borderId="0"/>
    <xf numFmtId="0" fontId="3" fillId="0" borderId="0"/>
    <xf numFmtId="0" fontId="3" fillId="0" borderId="0"/>
    <xf numFmtId="0" fontId="6" fillId="0" borderId="0"/>
    <xf numFmtId="0" fontId="3" fillId="0" borderId="0"/>
    <xf numFmtId="0" fontId="3" fillId="0" borderId="0"/>
    <xf numFmtId="168" fontId="3" fillId="0" borderId="0"/>
    <xf numFmtId="0" fontId="6" fillId="0" borderId="0"/>
    <xf numFmtId="168" fontId="6"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168" fontId="6"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4" fillId="0" borderId="0"/>
    <xf numFmtId="168" fontId="7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3" fillId="0" borderId="0"/>
    <xf numFmtId="0" fontId="3" fillId="0" borderId="0"/>
    <xf numFmtId="0" fontId="3" fillId="0" borderId="0"/>
    <xf numFmtId="0" fontId="6" fillId="0" borderId="0"/>
    <xf numFmtId="168" fontId="6" fillId="0" borderId="0"/>
    <xf numFmtId="0" fontId="3" fillId="0" borderId="0"/>
    <xf numFmtId="0" fontId="3" fillId="0" borderId="0"/>
    <xf numFmtId="0" fontId="3" fillId="0" borderId="0"/>
    <xf numFmtId="0" fontId="6" fillId="0" borderId="0"/>
    <xf numFmtId="0" fontId="3" fillId="0" borderId="0"/>
    <xf numFmtId="0" fontId="3" fillId="0" borderId="0"/>
    <xf numFmtId="0" fontId="3" fillId="0" borderId="0"/>
    <xf numFmtId="0" fontId="6" fillId="0" borderId="0"/>
    <xf numFmtId="0" fontId="6" fillId="0" borderId="0"/>
    <xf numFmtId="0" fontId="3" fillId="0" borderId="0"/>
    <xf numFmtId="0" fontId="3" fillId="0" borderId="0"/>
    <xf numFmtId="0" fontId="3" fillId="0" borderId="0"/>
    <xf numFmtId="0" fontId="6" fillId="0" borderId="0"/>
    <xf numFmtId="0" fontId="3" fillId="0" borderId="0"/>
    <xf numFmtId="0" fontId="74" fillId="0" borderId="0"/>
    <xf numFmtId="0" fontId="74" fillId="0" borderId="0"/>
    <xf numFmtId="168" fontId="74" fillId="0" borderId="0"/>
    <xf numFmtId="168" fontId="74" fillId="0" borderId="0"/>
    <xf numFmtId="0" fontId="3" fillId="0" borderId="0"/>
    <xf numFmtId="0" fontId="3"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6" fillId="0" borderId="0"/>
    <xf numFmtId="0" fontId="74" fillId="0" borderId="0"/>
    <xf numFmtId="0" fontId="74" fillId="0" borderId="0"/>
    <xf numFmtId="168" fontId="74" fillId="0" borderId="0"/>
    <xf numFmtId="168" fontId="7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168" fontId="6" fillId="0" borderId="0"/>
    <xf numFmtId="168"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168" fontId="6" fillId="0" borderId="0"/>
    <xf numFmtId="0" fontId="3"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74" fillId="0" borderId="0"/>
    <xf numFmtId="168" fontId="74"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xf numFmtId="168"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6" fillId="0" borderId="0"/>
    <xf numFmtId="0" fontId="3" fillId="0" borderId="0"/>
    <xf numFmtId="168" fontId="3" fillId="0" borderId="0"/>
    <xf numFmtId="0" fontId="74" fillId="0" borderId="0"/>
    <xf numFmtId="168" fontId="74" fillId="0" borderId="0"/>
    <xf numFmtId="0" fontId="6" fillId="0" borderId="0"/>
    <xf numFmtId="168" fontId="6" fillId="0" borderId="0"/>
    <xf numFmtId="0" fontId="74" fillId="0" borderId="0"/>
    <xf numFmtId="0" fontId="6" fillId="0" borderId="0"/>
    <xf numFmtId="0"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3" fillId="0" borderId="0"/>
    <xf numFmtId="0" fontId="3" fillId="0" borderId="0"/>
    <xf numFmtId="168"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92" fillId="0" borderId="0"/>
    <xf numFmtId="168" fontId="92" fillId="0" borderId="0"/>
    <xf numFmtId="0" fontId="74" fillId="0" borderId="0"/>
    <xf numFmtId="168" fontId="74" fillId="0" borderId="0"/>
    <xf numFmtId="0" fontId="74" fillId="0" borderId="0"/>
    <xf numFmtId="168" fontId="74" fillId="0" borderId="0"/>
    <xf numFmtId="0" fontId="74" fillId="0" borderId="0"/>
    <xf numFmtId="168" fontId="74" fillId="0" borderId="0"/>
    <xf numFmtId="0" fontId="74" fillId="0" borderId="0"/>
    <xf numFmtId="168" fontId="74" fillId="0" borderId="0"/>
    <xf numFmtId="0" fontId="74" fillId="0" borderId="0"/>
    <xf numFmtId="168" fontId="74"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0" fontId="3" fillId="0" borderId="0"/>
    <xf numFmtId="0" fontId="6" fillId="0" borderId="0"/>
    <xf numFmtId="168" fontId="6" fillId="0" borderId="0"/>
    <xf numFmtId="0" fontId="6" fillId="0" borderId="0"/>
    <xf numFmtId="168" fontId="6" fillId="0" borderId="0"/>
    <xf numFmtId="0" fontId="51" fillId="0" borderId="0"/>
    <xf numFmtId="168" fontId="6" fillId="0" borderId="0"/>
    <xf numFmtId="0" fontId="51" fillId="0" borderId="0"/>
    <xf numFmtId="0" fontId="74" fillId="0" borderId="0"/>
    <xf numFmtId="168" fontId="74" fillId="0" borderId="0"/>
    <xf numFmtId="0" fontId="6" fillId="0" borderId="0"/>
    <xf numFmtId="0" fontId="51" fillId="0" borderId="0"/>
    <xf numFmtId="0" fontId="74" fillId="0" borderId="0"/>
    <xf numFmtId="168" fontId="74" fillId="0" borderId="0"/>
    <xf numFmtId="0" fontId="51" fillId="0" borderId="0"/>
    <xf numFmtId="0" fontId="3" fillId="0" borderId="0"/>
    <xf numFmtId="0" fontId="74" fillId="0" borderId="0"/>
    <xf numFmtId="0" fontId="6" fillId="0" borderId="0"/>
    <xf numFmtId="0" fontId="74" fillId="0" borderId="0"/>
    <xf numFmtId="0" fontId="6" fillId="0" borderId="0"/>
    <xf numFmtId="0" fontId="6" fillId="0" borderId="0"/>
    <xf numFmtId="0" fontId="3" fillId="0" borderId="0"/>
    <xf numFmtId="0" fontId="3" fillId="0" borderId="0"/>
    <xf numFmtId="0" fontId="3" fillId="0" borderId="0"/>
    <xf numFmtId="0" fontId="6" fillId="0" borderId="0"/>
    <xf numFmtId="168" fontId="6" fillId="0" borderId="0"/>
    <xf numFmtId="0" fontId="51" fillId="0" borderId="0"/>
    <xf numFmtId="0" fontId="6" fillId="0" borderId="0"/>
    <xf numFmtId="168" fontId="6" fillId="0" borderId="0"/>
    <xf numFmtId="0" fontId="51" fillId="0" borderId="0"/>
    <xf numFmtId="0" fontId="3" fillId="0" borderId="0"/>
    <xf numFmtId="0" fontId="3" fillId="0" borderId="0"/>
    <xf numFmtId="0" fontId="6" fillId="0" borderId="0"/>
    <xf numFmtId="0" fontId="6" fillId="0" borderId="0"/>
    <xf numFmtId="0" fontId="3" fillId="0" borderId="0"/>
    <xf numFmtId="0" fontId="92" fillId="0" borderId="0"/>
    <xf numFmtId="168" fontId="92" fillId="0" borderId="0"/>
    <xf numFmtId="0" fontId="6" fillId="0" borderId="0"/>
    <xf numFmtId="0" fontId="92" fillId="0" borderId="0"/>
    <xf numFmtId="168" fontId="92" fillId="0" borderId="0"/>
    <xf numFmtId="0" fontId="6" fillId="0" borderId="0"/>
    <xf numFmtId="0" fontId="3" fillId="0" borderId="0"/>
    <xf numFmtId="0" fontId="92" fillId="0" borderId="0"/>
    <xf numFmtId="0" fontId="6" fillId="0" borderId="0"/>
    <xf numFmtId="0" fontId="3" fillId="0" borderId="0"/>
    <xf numFmtId="0" fontId="6" fillId="0" borderId="0"/>
    <xf numFmtId="0" fontId="92" fillId="0" borderId="0"/>
    <xf numFmtId="0" fontId="6" fillId="0" borderId="0"/>
    <xf numFmtId="0" fontId="3" fillId="0" borderId="0"/>
    <xf numFmtId="0" fontId="6" fillId="0" borderId="0"/>
    <xf numFmtId="0" fontId="92" fillId="0" borderId="0"/>
    <xf numFmtId="0" fontId="3" fillId="0" borderId="0"/>
    <xf numFmtId="0" fontId="132" fillId="0" borderId="0"/>
    <xf numFmtId="0" fontId="6" fillId="0" borderId="0"/>
    <xf numFmtId="0" fontId="3" fillId="0" borderId="0"/>
    <xf numFmtId="0" fontId="6" fillId="0" borderId="0"/>
    <xf numFmtId="0" fontId="3" fillId="0" borderId="0"/>
    <xf numFmtId="0" fontId="132" fillId="0" borderId="0"/>
    <xf numFmtId="0" fontId="6" fillId="0" borderId="0"/>
    <xf numFmtId="0" fontId="132" fillId="0" borderId="0"/>
    <xf numFmtId="0" fontId="6" fillId="0" borderId="0"/>
    <xf numFmtId="168" fontId="132" fillId="0" borderId="0"/>
    <xf numFmtId="0" fontId="3" fillId="0" borderId="0"/>
    <xf numFmtId="168" fontId="132" fillId="0" borderId="0"/>
    <xf numFmtId="0" fontId="3" fillId="0" borderId="0"/>
    <xf numFmtId="0" fontId="3" fillId="0" borderId="0"/>
    <xf numFmtId="0" fontId="6" fillId="0" borderId="0"/>
    <xf numFmtId="0" fontId="3"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3" fillId="0" borderId="0"/>
    <xf numFmtId="0" fontId="6"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6" fillId="0" borderId="0"/>
    <xf numFmtId="168" fontId="3"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0" fontId="51" fillId="0" borderId="0"/>
    <xf numFmtId="0" fontId="6" fillId="0" borderId="0"/>
    <xf numFmtId="168" fontId="6" fillId="0" borderId="0"/>
    <xf numFmtId="0" fontId="74" fillId="0" borderId="0"/>
    <xf numFmtId="0" fontId="6" fillId="0" borderId="0"/>
    <xf numFmtId="0" fontId="74" fillId="0" borderId="0"/>
    <xf numFmtId="0" fontId="3" fillId="0" borderId="0"/>
    <xf numFmtId="0" fontId="74" fillId="0" borderId="0"/>
    <xf numFmtId="0" fontId="3" fillId="0" borderId="0"/>
    <xf numFmtId="0" fontId="74" fillId="0" borderId="0"/>
    <xf numFmtId="0" fontId="6" fillId="0" borderId="0"/>
    <xf numFmtId="0" fontId="6" fillId="0" borderId="0"/>
    <xf numFmtId="168" fontId="6" fillId="0" borderId="0"/>
    <xf numFmtId="0" fontId="3" fillId="0" borderId="0"/>
    <xf numFmtId="168" fontId="3" fillId="0" borderId="0"/>
    <xf numFmtId="0" fontId="3" fillId="0" borderId="0"/>
    <xf numFmtId="168" fontId="3" fillId="0" borderId="0"/>
    <xf numFmtId="168" fontId="6" fillId="0" borderId="0"/>
    <xf numFmtId="0" fontId="74" fillId="0" borderId="0"/>
    <xf numFmtId="0" fontId="3" fillId="0" borderId="0"/>
    <xf numFmtId="168" fontId="3" fillId="0" borderId="0"/>
    <xf numFmtId="0" fontId="3" fillId="0" borderId="0"/>
    <xf numFmtId="168" fontId="3" fillId="0" borderId="0"/>
    <xf numFmtId="0" fontId="3" fillId="0" borderId="0"/>
    <xf numFmtId="0" fontId="3" fillId="0" borderId="0"/>
    <xf numFmtId="0" fontId="74" fillId="0" borderId="0"/>
    <xf numFmtId="0" fontId="6" fillId="0" borderId="0"/>
    <xf numFmtId="0" fontId="3" fillId="0" borderId="0"/>
    <xf numFmtId="0" fontId="6" fillId="0" borderId="0"/>
    <xf numFmtId="0" fontId="3" fillId="0" borderId="0"/>
    <xf numFmtId="0" fontId="3" fillId="0" borderId="0"/>
    <xf numFmtId="168" fontId="3" fillId="0" borderId="0"/>
    <xf numFmtId="0" fontId="74" fillId="0" borderId="0"/>
    <xf numFmtId="168" fontId="74" fillId="0" borderId="0"/>
    <xf numFmtId="0" fontId="74" fillId="0" borderId="0"/>
    <xf numFmtId="0" fontId="74"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0" fontId="51" fillId="0" borderId="0"/>
    <xf numFmtId="168" fontId="51" fillId="0" borderId="0"/>
    <xf numFmtId="0" fontId="51" fillId="0" borderId="0"/>
    <xf numFmtId="168" fontId="51" fillId="0" borderId="0"/>
    <xf numFmtId="0" fontId="6" fillId="0" borderId="0"/>
    <xf numFmtId="0" fontId="6" fillId="0" borderId="0"/>
    <xf numFmtId="0"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3" fillId="0" borderId="0"/>
    <xf numFmtId="0" fontId="6" fillId="0" borderId="0"/>
    <xf numFmtId="168" fontId="6" fillId="0" borderId="0"/>
    <xf numFmtId="0" fontId="6" fillId="0" borderId="0"/>
    <xf numFmtId="168" fontId="6" fillId="0" borderId="0"/>
    <xf numFmtId="0"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74" fillId="0" borderId="0"/>
    <xf numFmtId="168" fontId="74" fillId="0" borderId="0"/>
    <xf numFmtId="0" fontId="74" fillId="0" borderId="0"/>
    <xf numFmtId="0" fontId="6" fillId="0" borderId="0"/>
    <xf numFmtId="0" fontId="74" fillId="0" borderId="0"/>
    <xf numFmtId="0" fontId="6" fillId="0" borderId="0"/>
    <xf numFmtId="0" fontId="3" fillId="0" borderId="0"/>
    <xf numFmtId="168" fontId="3" fillId="0" borderId="0"/>
    <xf numFmtId="0"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3" fillId="0" borderId="0"/>
    <xf numFmtId="0" fontId="6" fillId="0" borderId="0"/>
    <xf numFmtId="168" fontId="6"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3" fillId="0" borderId="0"/>
    <xf numFmtId="168" fontId="3" fillId="0" borderId="0"/>
    <xf numFmtId="0" fontId="3" fillId="0" borderId="0"/>
    <xf numFmtId="0" fontId="6" fillId="0" borderId="0"/>
    <xf numFmtId="0" fontId="3" fillId="0" borderId="0"/>
    <xf numFmtId="0" fontId="6" fillId="0" borderId="0"/>
    <xf numFmtId="0" fontId="6" fillId="0" borderId="0"/>
    <xf numFmtId="0" fontId="6" fillId="0" borderId="0"/>
    <xf numFmtId="168" fontId="6" fillId="0" borderId="0"/>
    <xf numFmtId="0" fontId="6"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74" fillId="0" borderId="0"/>
    <xf numFmtId="0" fontId="74" fillId="0" borderId="0"/>
    <xf numFmtId="168" fontId="74" fillId="0" borderId="0"/>
    <xf numFmtId="0" fontId="6" fillId="0" borderId="0"/>
    <xf numFmtId="0" fontId="74" fillId="0" borderId="0"/>
    <xf numFmtId="168" fontId="6" fillId="0" borderId="0"/>
    <xf numFmtId="0" fontId="6" fillId="0" borderId="0"/>
    <xf numFmtId="168" fontId="6" fillId="0" borderId="0"/>
    <xf numFmtId="0"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168" fontId="6" fillId="23" borderId="7" applyNumberFormat="0" applyFont="0" applyAlignment="0" applyProtection="0"/>
    <xf numFmtId="168" fontId="6" fillId="23" borderId="7" applyNumberFormat="0" applyFont="0" applyAlignment="0" applyProtection="0"/>
    <xf numFmtId="0" fontId="74" fillId="23" borderId="7" applyNumberFormat="0" applyFont="0" applyAlignment="0" applyProtection="0"/>
    <xf numFmtId="168" fontId="74" fillId="23" borderId="7" applyNumberFormat="0" applyFont="0" applyAlignment="0" applyProtection="0"/>
    <xf numFmtId="0" fontId="74"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8" fillId="41" borderId="30"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74" fillId="23" borderId="7" applyNumberFormat="0" applyFont="0" applyAlignment="0" applyProtection="0"/>
    <xf numFmtId="0" fontId="6" fillId="23" borderId="7" applyNumberFormat="0" applyFont="0" applyAlignment="0" applyProtection="0"/>
    <xf numFmtId="0" fontId="74" fillId="23" borderId="7" applyNumberFormat="0" applyFont="0" applyAlignment="0" applyProtection="0"/>
    <xf numFmtId="0" fontId="6" fillId="23" borderId="7" applyNumberFormat="0" applyFont="0" applyAlignment="0" applyProtection="0"/>
    <xf numFmtId="0" fontId="74" fillId="23" borderId="7" applyNumberFormat="0" applyFont="0" applyAlignment="0" applyProtection="0"/>
    <xf numFmtId="0" fontId="6" fillId="23" borderId="7" applyNumberFormat="0" applyFont="0" applyAlignment="0" applyProtection="0"/>
    <xf numFmtId="0" fontId="74" fillId="23" borderId="7" applyNumberFormat="0" applyFont="0" applyAlignment="0" applyProtection="0"/>
    <xf numFmtId="0" fontId="6" fillId="23" borderId="7" applyNumberFormat="0" applyFont="0" applyAlignment="0" applyProtection="0"/>
    <xf numFmtId="0" fontId="74" fillId="23" borderId="7" applyNumberFormat="0" applyFont="0" applyAlignment="0" applyProtection="0"/>
    <xf numFmtId="0" fontId="8" fillId="41" borderId="30" applyNumberFormat="0" applyFont="0" applyAlignment="0" applyProtection="0"/>
    <xf numFmtId="0" fontId="74" fillId="23" borderId="7"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8" fillId="41" borderId="30" applyNumberFormat="0" applyFont="0" applyAlignment="0" applyProtection="0"/>
    <xf numFmtId="0" fontId="8" fillId="41" borderId="30"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168"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0" fontId="6" fillId="23" borderId="7" applyNumberFormat="0" applyFont="0" applyAlignment="0" applyProtection="0"/>
    <xf numFmtId="40" fontId="93" fillId="0" borderId="0" applyFont="0" applyFill="0" applyBorder="0" applyAlignment="0" applyProtection="0"/>
    <xf numFmtId="38" fontId="93" fillId="0" borderId="0" applyFont="0" applyFill="0" applyBorder="0" applyAlignment="0" applyProtection="0"/>
    <xf numFmtId="168" fontId="21" fillId="20" borderId="8" applyNumberFormat="0" applyAlignment="0" applyProtection="0"/>
    <xf numFmtId="0" fontId="21" fillId="20" borderId="8" applyNumberFormat="0" applyAlignment="0" applyProtection="0"/>
    <xf numFmtId="168" fontId="21" fillId="20" borderId="8" applyNumberFormat="0" applyAlignment="0" applyProtection="0"/>
    <xf numFmtId="0" fontId="21" fillId="20" borderId="8" applyNumberFormat="0" applyAlignment="0" applyProtection="0"/>
    <xf numFmtId="168" fontId="21" fillId="20" borderId="8" applyNumberFormat="0" applyAlignment="0" applyProtection="0"/>
    <xf numFmtId="0" fontId="21" fillId="20" borderId="8" applyNumberFormat="0" applyAlignment="0" applyProtection="0"/>
    <xf numFmtId="0" fontId="60" fillId="39" borderId="27" applyNumberFormat="0" applyAlignment="0" applyProtection="0"/>
    <xf numFmtId="14" fontId="75" fillId="0" borderId="0">
      <alignment horizontal="center" wrapText="1"/>
      <protection locked="0"/>
    </xf>
    <xf numFmtId="183" fontId="87" fillId="0" borderId="0" applyFont="0" applyFill="0" applyBorder="0" applyAlignment="0" applyProtection="0"/>
    <xf numFmtId="185"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4" fillId="0" borderId="0" applyFont="0" applyFill="0" applyBorder="0" applyAlignment="0" applyProtection="0"/>
    <xf numFmtId="10" fontId="74" fillId="0" borderId="0" applyFont="0" applyFill="0" applyBorder="0" applyAlignment="0" applyProtection="0"/>
    <xf numFmtId="173" fontId="6" fillId="0" borderId="0" applyFill="0" applyBorder="0" applyAlignment="0"/>
    <xf numFmtId="172" fontId="87" fillId="0" borderId="0" applyFill="0" applyBorder="0" applyAlignment="0"/>
    <xf numFmtId="173" fontId="6" fillId="0" borderId="0" applyFill="0" applyBorder="0" applyAlignment="0"/>
    <xf numFmtId="181" fontId="87" fillId="0" borderId="0" applyFill="0" applyBorder="0" applyAlignment="0"/>
    <xf numFmtId="172" fontId="87" fillId="0" borderId="0" applyFill="0" applyBorder="0" applyAlignment="0"/>
    <xf numFmtId="0" fontId="74" fillId="0" borderId="0" applyNumberFormat="0" applyFont="0" applyFill="0" applyBorder="0" applyAlignment="0" applyProtection="0">
      <alignment horizontal="left"/>
    </xf>
    <xf numFmtId="168" fontId="74" fillId="0" borderId="0" applyNumberFormat="0" applyFont="0" applyFill="0" applyBorder="0" applyAlignment="0" applyProtection="0">
      <alignment horizontal="left"/>
    </xf>
    <xf numFmtId="15" fontId="74" fillId="0" borderId="0" applyFont="0" applyFill="0" applyBorder="0" applyAlignment="0" applyProtection="0"/>
    <xf numFmtId="4" fontId="74" fillId="0" borderId="0" applyFont="0" applyFill="0" applyBorder="0" applyAlignment="0" applyProtection="0"/>
    <xf numFmtId="0" fontId="85" fillId="0" borderId="33">
      <alignment horizontal="center"/>
    </xf>
    <xf numFmtId="168" fontId="85" fillId="0" borderId="33">
      <alignment horizontal="center"/>
    </xf>
    <xf numFmtId="0" fontId="85" fillId="0" borderId="33">
      <alignment horizontal="center"/>
    </xf>
    <xf numFmtId="3" fontId="74" fillId="0" borderId="0" applyFont="0" applyFill="0" applyBorder="0" applyAlignment="0" applyProtection="0"/>
    <xf numFmtId="0" fontId="74" fillId="65" borderId="0" applyNumberFormat="0" applyFont="0" applyBorder="0" applyAlignment="0" applyProtection="0"/>
    <xf numFmtId="168" fontId="74" fillId="65" borderId="0" applyNumberFormat="0" applyFont="0" applyBorder="0" applyAlignment="0" applyProtection="0"/>
    <xf numFmtId="0" fontId="79" fillId="0" borderId="0" applyFont="0" applyFill="0" applyBorder="0" applyAlignment="0" applyProtection="0"/>
    <xf numFmtId="168" fontId="79" fillId="0" borderId="0" applyFont="0" applyFill="0" applyBorder="0" applyAlignment="0" applyProtection="0"/>
    <xf numFmtId="0" fontId="94" fillId="0" borderId="0" applyFont="0" applyFill="0" applyBorder="0" applyAlignment="0" applyProtection="0"/>
    <xf numFmtId="168" fontId="94" fillId="0" borderId="0" applyFont="0" applyFill="0" applyBorder="0" applyAlignment="0" applyProtection="0"/>
    <xf numFmtId="0" fontId="6" fillId="0" borderId="0"/>
    <xf numFmtId="183" fontId="74" fillId="0" borderId="0">
      <alignment horizontal="center"/>
    </xf>
    <xf numFmtId="0" fontId="94" fillId="0" borderId="0">
      <alignment vertical="center"/>
    </xf>
    <xf numFmtId="168" fontId="94" fillId="0" borderId="0">
      <alignment vertical="center"/>
    </xf>
    <xf numFmtId="0" fontId="71" fillId="0" borderId="0">
      <alignment vertical="top"/>
    </xf>
    <xf numFmtId="168" fontId="71" fillId="0" borderId="0">
      <alignment vertical="top"/>
    </xf>
    <xf numFmtId="0" fontId="71" fillId="0" borderId="0">
      <alignment vertical="top"/>
    </xf>
    <xf numFmtId="0" fontId="71" fillId="0" borderId="0">
      <alignment vertical="top"/>
    </xf>
    <xf numFmtId="0" fontId="7" fillId="0" borderId="0"/>
    <xf numFmtId="168" fontId="7" fillId="0" borderId="0"/>
    <xf numFmtId="168" fontId="7" fillId="0" borderId="0"/>
    <xf numFmtId="0" fontId="71" fillId="0" borderId="0">
      <alignment vertical="top"/>
    </xf>
    <xf numFmtId="0" fontId="90" fillId="0" borderId="0"/>
    <xf numFmtId="168" fontId="90" fillId="0" borderId="0"/>
    <xf numFmtId="49" fontId="71" fillId="0" borderId="0" applyFill="0" applyBorder="0" applyAlignment="0"/>
    <xf numFmtId="186" fontId="87" fillId="0" borderId="0" applyFill="0" applyBorder="0" applyAlignment="0"/>
    <xf numFmtId="186" fontId="6" fillId="0" borderId="0" applyFill="0" applyBorder="0" applyAlignment="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168"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168"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133" fillId="0" borderId="0" applyNumberFormat="0" applyFill="0" applyBorder="0" applyAlignment="0" applyProtection="0"/>
    <xf numFmtId="0" fontId="22" fillId="0" borderId="0" applyNumberFormat="0" applyFill="0" applyBorder="0" applyAlignment="0" applyProtection="0"/>
    <xf numFmtId="168" fontId="133" fillId="0" borderId="0" applyNumberFormat="0" applyFill="0" applyBorder="0" applyAlignment="0" applyProtection="0"/>
    <xf numFmtId="168" fontId="22" fillId="0" borderId="0" applyNumberFormat="0" applyFill="0" applyBorder="0" applyAlignment="0" applyProtection="0"/>
    <xf numFmtId="168" fontId="22" fillId="0" borderId="0" applyNumberFormat="0" applyFill="0" applyBorder="0" applyAlignment="0" applyProtection="0"/>
    <xf numFmtId="0" fontId="134" fillId="0" borderId="0" applyNumberFormat="0" applyFill="0" applyBorder="0" applyAlignment="0" applyProtection="0"/>
    <xf numFmtId="168" fontId="23" fillId="0" borderId="9" applyNumberFormat="0" applyFill="0" applyAlignment="0" applyProtection="0"/>
    <xf numFmtId="0" fontId="23" fillId="0" borderId="9" applyNumberFormat="0" applyFill="0" applyAlignment="0" applyProtection="0"/>
    <xf numFmtId="168" fontId="23" fillId="0" borderId="9" applyNumberFormat="0" applyFill="0" applyAlignment="0" applyProtection="0"/>
    <xf numFmtId="0" fontId="23" fillId="0" borderId="9" applyNumberFormat="0" applyFill="0" applyAlignment="0" applyProtection="0"/>
    <xf numFmtId="168" fontId="23" fillId="0" borderId="9" applyNumberFormat="0" applyFill="0" applyAlignment="0" applyProtection="0"/>
    <xf numFmtId="0" fontId="23" fillId="0" borderId="9" applyNumberFormat="0" applyFill="0" applyAlignment="0" applyProtection="0"/>
    <xf numFmtId="0" fontId="54" fillId="0" borderId="31" applyNumberFormat="0" applyFill="0" applyAlignment="0" applyProtection="0"/>
    <xf numFmtId="169" fontId="6" fillId="0" borderId="0" applyFont="0" applyFill="0" applyBorder="0" applyAlignment="0" applyProtection="0"/>
    <xf numFmtId="170" fontId="6" fillId="0" borderId="0" applyFont="0" applyFill="0" applyBorder="0" applyAlignment="0" applyProtection="0"/>
    <xf numFmtId="168" fontId="24" fillId="0" borderId="0" applyNumberFormat="0" applyFill="0" applyBorder="0" applyAlignment="0" applyProtection="0"/>
    <xf numFmtId="0" fontId="24" fillId="0" borderId="0" applyNumberFormat="0" applyFill="0" applyBorder="0" applyAlignment="0" applyProtection="0"/>
    <xf numFmtId="168" fontId="24" fillId="0" borderId="0" applyNumberFormat="0" applyFill="0" applyBorder="0" applyAlignment="0" applyProtection="0"/>
    <xf numFmtId="0" fontId="24" fillId="0" borderId="0" applyNumberFormat="0" applyFill="0" applyBorder="0" applyAlignment="0" applyProtection="0"/>
    <xf numFmtId="168" fontId="24" fillId="0" borderId="0" applyNumberFormat="0" applyFill="0" applyBorder="0" applyAlignment="0" applyProtection="0"/>
    <xf numFmtId="0" fontId="24" fillId="0" borderId="0" applyNumberFormat="0" applyFill="0" applyBorder="0" applyAlignment="0" applyProtection="0"/>
    <xf numFmtId="0" fontId="64" fillId="0" borderId="0" applyNumberFormat="0" applyFill="0" applyBorder="0" applyAlignment="0" applyProtection="0"/>
    <xf numFmtId="0" fontId="53" fillId="0" borderId="0">
      <alignment horizontal="left"/>
    </xf>
    <xf numFmtId="168" fontId="53" fillId="0" borderId="0">
      <alignment horizontal="left"/>
    </xf>
    <xf numFmtId="0" fontId="79" fillId="0" borderId="0" applyFont="0" applyFill="0" applyBorder="0" applyAlignment="0" applyProtection="0"/>
    <xf numFmtId="168" fontId="79" fillId="0" borderId="0" applyFont="0" applyFill="0" applyBorder="0" applyAlignment="0" applyProtection="0"/>
    <xf numFmtId="0" fontId="83" fillId="16" borderId="0" applyNumberFormat="0" applyBorder="0" applyAlignment="0" applyProtection="0">
      <alignment vertical="center"/>
    </xf>
    <xf numFmtId="168" fontId="83" fillId="16" borderId="0" applyNumberFormat="0" applyBorder="0" applyAlignment="0" applyProtection="0">
      <alignment vertical="center"/>
    </xf>
    <xf numFmtId="0" fontId="83" fillId="17" borderId="0" applyNumberFormat="0" applyBorder="0" applyAlignment="0" applyProtection="0">
      <alignment vertical="center"/>
    </xf>
    <xf numFmtId="168" fontId="83" fillId="17" borderId="0" applyNumberFormat="0" applyBorder="0" applyAlignment="0" applyProtection="0">
      <alignment vertical="center"/>
    </xf>
    <xf numFmtId="0" fontId="83" fillId="18" borderId="0" applyNumberFormat="0" applyBorder="0" applyAlignment="0" applyProtection="0">
      <alignment vertical="center"/>
    </xf>
    <xf numFmtId="168" fontId="83" fillId="18" borderId="0" applyNumberFormat="0" applyBorder="0" applyAlignment="0" applyProtection="0">
      <alignment vertical="center"/>
    </xf>
    <xf numFmtId="0" fontId="83" fillId="13" borderId="0" applyNumberFormat="0" applyBorder="0" applyAlignment="0" applyProtection="0">
      <alignment vertical="center"/>
    </xf>
    <xf numFmtId="168" fontId="83" fillId="13" borderId="0" applyNumberFormat="0" applyBorder="0" applyAlignment="0" applyProtection="0">
      <alignment vertical="center"/>
    </xf>
    <xf numFmtId="0" fontId="83" fillId="14" borderId="0" applyNumberFormat="0" applyBorder="0" applyAlignment="0" applyProtection="0">
      <alignment vertical="center"/>
    </xf>
    <xf numFmtId="168" fontId="83" fillId="14" borderId="0" applyNumberFormat="0" applyBorder="0" applyAlignment="0" applyProtection="0">
      <alignment vertical="center"/>
    </xf>
    <xf numFmtId="0" fontId="83" fillId="19" borderId="0" applyNumberFormat="0" applyBorder="0" applyAlignment="0" applyProtection="0">
      <alignment vertical="center"/>
    </xf>
    <xf numFmtId="168" fontId="83" fillId="19" borderId="0" applyNumberFormat="0" applyBorder="0" applyAlignment="0" applyProtection="0">
      <alignment vertical="center"/>
    </xf>
    <xf numFmtId="0" fontId="95" fillId="0" borderId="0" applyNumberFormat="0" applyFill="0" applyBorder="0" applyAlignment="0" applyProtection="0">
      <alignment vertical="center"/>
    </xf>
    <xf numFmtId="168" fontId="95" fillId="0" borderId="0" applyNumberFormat="0" applyFill="0" applyBorder="0" applyAlignment="0" applyProtection="0">
      <alignment vertical="center"/>
    </xf>
    <xf numFmtId="0" fontId="96" fillId="20" borderId="1" applyNumberFormat="0" applyAlignment="0" applyProtection="0">
      <alignment vertical="center"/>
    </xf>
    <xf numFmtId="168" fontId="96" fillId="20" borderId="1" applyNumberFormat="0" applyAlignment="0" applyProtection="0">
      <alignment vertical="center"/>
    </xf>
    <xf numFmtId="0" fontId="97" fillId="0" borderId="0" applyNumberFormat="0" applyFill="0" applyBorder="0" applyAlignment="0" applyProtection="0"/>
    <xf numFmtId="0" fontId="98" fillId="0" borderId="0" applyNumberFormat="0" applyFill="0" applyBorder="0" applyAlignment="0" applyProtection="0"/>
    <xf numFmtId="0" fontId="99" fillId="3" borderId="0" applyNumberFormat="0" applyBorder="0" applyAlignment="0" applyProtection="0">
      <alignment vertical="center"/>
    </xf>
    <xf numFmtId="168" fontId="99" fillId="3" borderId="0" applyNumberFormat="0" applyBorder="0" applyAlignment="0" applyProtection="0">
      <alignment vertical="center"/>
    </xf>
    <xf numFmtId="0" fontId="6" fillId="0" borderId="0" applyFont="0" applyFill="0" applyBorder="0" applyAlignment="0" applyProtection="0"/>
    <xf numFmtId="0" fontId="6" fillId="23" borderId="7" applyNumberFormat="0" applyFont="0" applyAlignment="0" applyProtection="0">
      <alignment vertical="center"/>
    </xf>
    <xf numFmtId="168" fontId="6" fillId="23" borderId="7" applyNumberFormat="0" applyFont="0" applyAlignment="0" applyProtection="0">
      <alignment vertical="center"/>
    </xf>
    <xf numFmtId="0" fontId="100" fillId="22" borderId="0" applyNumberFormat="0" applyBorder="0" applyAlignment="0" applyProtection="0">
      <alignment vertical="center"/>
    </xf>
    <xf numFmtId="168" fontId="100" fillId="22" borderId="0" applyNumberFormat="0" applyBorder="0" applyAlignment="0" applyProtection="0">
      <alignment vertical="center"/>
    </xf>
    <xf numFmtId="0" fontId="101" fillId="0" borderId="0"/>
    <xf numFmtId="0" fontId="102" fillId="0" borderId="0" applyNumberFormat="0" applyFill="0" applyBorder="0" applyAlignment="0" applyProtection="0">
      <alignment vertical="center"/>
    </xf>
    <xf numFmtId="168" fontId="102" fillId="0" borderId="0" applyNumberFormat="0" applyFill="0" applyBorder="0" applyAlignment="0" applyProtection="0">
      <alignment vertical="center"/>
    </xf>
    <xf numFmtId="0" fontId="103" fillId="21" borderId="2" applyNumberFormat="0" applyAlignment="0" applyProtection="0">
      <alignment vertical="center"/>
    </xf>
    <xf numFmtId="168" fontId="103" fillId="21" borderId="2" applyNumberFormat="0" applyAlignment="0" applyProtection="0">
      <alignment vertical="center"/>
    </xf>
    <xf numFmtId="0" fontId="80" fillId="0" borderId="0" applyFont="0" applyFill="0" applyBorder="0" applyAlignment="0" applyProtection="0"/>
    <xf numFmtId="41" fontId="6" fillId="0" borderId="0" applyFont="0" applyFill="0" applyBorder="0" applyAlignment="0" applyProtection="0"/>
    <xf numFmtId="0" fontId="104" fillId="0" borderId="6" applyNumberFormat="0" applyFill="0" applyAlignment="0" applyProtection="0">
      <alignment vertical="center"/>
    </xf>
    <xf numFmtId="168" fontId="104" fillId="0" borderId="6" applyNumberFormat="0" applyFill="0" applyAlignment="0" applyProtection="0">
      <alignment vertical="center"/>
    </xf>
    <xf numFmtId="0" fontId="105" fillId="0" borderId="9" applyNumberFormat="0" applyFill="0" applyAlignment="0" applyProtection="0">
      <alignment vertical="center"/>
    </xf>
    <xf numFmtId="168" fontId="105" fillId="0" borderId="9" applyNumberFormat="0" applyFill="0" applyAlignment="0" applyProtection="0">
      <alignment vertical="center"/>
    </xf>
    <xf numFmtId="0" fontId="106" fillId="7" borderId="1" applyNumberFormat="0" applyAlignment="0" applyProtection="0">
      <alignment vertical="center"/>
    </xf>
    <xf numFmtId="168" fontId="106" fillId="7" borderId="1" applyNumberFormat="0" applyAlignment="0" applyProtection="0">
      <alignment vertical="center"/>
    </xf>
    <xf numFmtId="0" fontId="107" fillId="0" borderId="0" applyNumberFormat="0" applyFill="0" applyBorder="0" applyAlignment="0" applyProtection="0">
      <alignment vertical="center"/>
    </xf>
    <xf numFmtId="0" fontId="108" fillId="0" borderId="3" applyNumberFormat="0" applyFill="0" applyAlignment="0" applyProtection="0">
      <alignment vertical="center"/>
    </xf>
    <xf numFmtId="168" fontId="108" fillId="0" borderId="3" applyNumberFormat="0" applyFill="0" applyAlignment="0" applyProtection="0">
      <alignment vertical="center"/>
    </xf>
    <xf numFmtId="0" fontId="109" fillId="0" borderId="4" applyNumberFormat="0" applyFill="0" applyAlignment="0" applyProtection="0">
      <alignment vertical="center"/>
    </xf>
    <xf numFmtId="168" fontId="109" fillId="0" borderId="4" applyNumberFormat="0" applyFill="0" applyAlignment="0" applyProtection="0">
      <alignment vertical="center"/>
    </xf>
    <xf numFmtId="0" fontId="110" fillId="0" borderId="5" applyNumberFormat="0" applyFill="0" applyAlignment="0" applyProtection="0">
      <alignment vertical="center"/>
    </xf>
    <xf numFmtId="168" fontId="110" fillId="0" borderId="5" applyNumberFormat="0" applyFill="0" applyAlignment="0" applyProtection="0">
      <alignment vertical="center"/>
    </xf>
    <xf numFmtId="0" fontId="110" fillId="0" borderId="5" applyNumberFormat="0" applyFill="0" applyAlignment="0" applyProtection="0">
      <alignment vertical="center"/>
    </xf>
    <xf numFmtId="0" fontId="110" fillId="0" borderId="0" applyNumberFormat="0" applyFill="0" applyBorder="0" applyAlignment="0" applyProtection="0">
      <alignment vertical="center"/>
    </xf>
    <xf numFmtId="168" fontId="110" fillId="0" borderId="0" applyNumberFormat="0" applyFill="0" applyBorder="0" applyAlignment="0" applyProtection="0">
      <alignment vertical="center"/>
    </xf>
    <xf numFmtId="168" fontId="107" fillId="0" borderId="0" applyNumberFormat="0" applyFill="0" applyBorder="0" applyAlignment="0" applyProtection="0">
      <alignment vertical="center"/>
    </xf>
    <xf numFmtId="0" fontId="111" fillId="4" borderId="0" applyNumberFormat="0" applyBorder="0" applyAlignment="0" applyProtection="0">
      <alignment vertical="center"/>
    </xf>
    <xf numFmtId="168" fontId="111" fillId="4" borderId="0" applyNumberFormat="0" applyBorder="0" applyAlignment="0" applyProtection="0">
      <alignment vertical="center"/>
    </xf>
    <xf numFmtId="0" fontId="112" fillId="20" borderId="8" applyNumberFormat="0" applyAlignment="0" applyProtection="0">
      <alignment vertical="center"/>
    </xf>
    <xf numFmtId="168" fontId="112" fillId="20" borderId="8" applyNumberFormat="0" applyAlignment="0" applyProtection="0">
      <alignment vertical="center"/>
    </xf>
    <xf numFmtId="38" fontId="79" fillId="0" borderId="0" applyFont="0" applyFill="0" applyBorder="0" applyAlignment="0" applyProtection="0"/>
    <xf numFmtId="0" fontId="94" fillId="0" borderId="0" applyFont="0" applyFill="0" applyBorder="0" applyAlignment="0" applyProtection="0"/>
    <xf numFmtId="168" fontId="94" fillId="0" borderId="0" applyFont="0" applyFill="0" applyBorder="0" applyAlignment="0" applyProtection="0"/>
    <xf numFmtId="40" fontId="79" fillId="0" borderId="0" applyFont="0" applyFill="0" applyBorder="0" applyAlignment="0" applyProtection="0"/>
    <xf numFmtId="0" fontId="94" fillId="0" borderId="0"/>
    <xf numFmtId="0" fontId="72" fillId="0" borderId="0"/>
    <xf numFmtId="41" fontId="6" fillId="0" borderId="0" applyFont="0" applyFill="0" applyBorder="0" applyAlignment="0" applyProtection="0"/>
    <xf numFmtId="43" fontId="6" fillId="0" borderId="0" applyFont="0" applyFill="0" applyBorder="0" applyAlignment="0" applyProtection="0"/>
    <xf numFmtId="0" fontId="113" fillId="4" borderId="0" applyNumberFormat="0" applyBorder="0" applyAlignment="0" applyProtection="0">
      <alignment vertical="center"/>
    </xf>
    <xf numFmtId="168" fontId="113" fillId="4" borderId="0" applyNumberFormat="0" applyBorder="0" applyAlignment="0" applyProtection="0">
      <alignment vertical="center"/>
    </xf>
    <xf numFmtId="0" fontId="114" fillId="3" borderId="0" applyNumberFormat="0" applyBorder="0" applyAlignment="0" applyProtection="0">
      <alignment vertical="center"/>
    </xf>
    <xf numFmtId="168" fontId="114" fillId="3" borderId="0" applyNumberFormat="0" applyBorder="0" applyAlignment="0" applyProtection="0">
      <alignment vertical="center"/>
    </xf>
    <xf numFmtId="0" fontId="115" fillId="0" borderId="0"/>
    <xf numFmtId="0" fontId="84" fillId="16" borderId="0" applyNumberFormat="0" applyBorder="0" applyAlignment="0" applyProtection="0">
      <alignment vertical="center"/>
    </xf>
    <xf numFmtId="168" fontId="84" fillId="16" borderId="0" applyNumberFormat="0" applyBorder="0" applyAlignment="0" applyProtection="0">
      <alignment vertical="center"/>
    </xf>
    <xf numFmtId="0" fontId="84" fillId="17" borderId="0" applyNumberFormat="0" applyBorder="0" applyAlignment="0" applyProtection="0">
      <alignment vertical="center"/>
    </xf>
    <xf numFmtId="168" fontId="84" fillId="17" borderId="0" applyNumberFormat="0" applyBorder="0" applyAlignment="0" applyProtection="0">
      <alignment vertical="center"/>
    </xf>
    <xf numFmtId="0" fontId="84" fillId="18" borderId="0" applyNumberFormat="0" applyBorder="0" applyAlignment="0" applyProtection="0">
      <alignment vertical="center"/>
    </xf>
    <xf numFmtId="168" fontId="84" fillId="18" borderId="0" applyNumberFormat="0" applyBorder="0" applyAlignment="0" applyProtection="0">
      <alignment vertical="center"/>
    </xf>
    <xf numFmtId="0" fontId="84" fillId="13" borderId="0" applyNumberFormat="0" applyBorder="0" applyAlignment="0" applyProtection="0">
      <alignment vertical="center"/>
    </xf>
    <xf numFmtId="168" fontId="84" fillId="13" borderId="0" applyNumberFormat="0" applyBorder="0" applyAlignment="0" applyProtection="0">
      <alignment vertical="center"/>
    </xf>
    <xf numFmtId="0" fontId="84" fillId="14" borderId="0" applyNumberFormat="0" applyBorder="0" applyAlignment="0" applyProtection="0">
      <alignment vertical="center"/>
    </xf>
    <xf numFmtId="168" fontId="84" fillId="14" borderId="0" applyNumberFormat="0" applyBorder="0" applyAlignment="0" applyProtection="0">
      <alignment vertical="center"/>
    </xf>
    <xf numFmtId="0" fontId="84" fillId="19" borderId="0" applyNumberFormat="0" applyBorder="0" applyAlignment="0" applyProtection="0">
      <alignment vertical="center"/>
    </xf>
    <xf numFmtId="168" fontId="84" fillId="19" borderId="0" applyNumberFormat="0" applyBorder="0" applyAlignment="0" applyProtection="0">
      <alignment vertical="center"/>
    </xf>
    <xf numFmtId="0" fontId="116" fillId="0" borderId="0" applyNumberFormat="0" applyFill="0" applyBorder="0" applyAlignment="0" applyProtection="0">
      <alignment vertical="center"/>
    </xf>
    <xf numFmtId="0" fontId="117" fillId="0" borderId="3" applyNumberFormat="0" applyFill="0" applyAlignment="0" applyProtection="0">
      <alignment vertical="center"/>
    </xf>
    <xf numFmtId="168" fontId="117" fillId="0" borderId="3" applyNumberFormat="0" applyFill="0" applyAlignment="0" applyProtection="0">
      <alignment vertical="center"/>
    </xf>
    <xf numFmtId="0" fontId="118" fillId="0" borderId="4" applyNumberFormat="0" applyFill="0" applyAlignment="0" applyProtection="0">
      <alignment vertical="center"/>
    </xf>
    <xf numFmtId="168" fontId="118" fillId="0" borderId="4" applyNumberFormat="0" applyFill="0" applyAlignment="0" applyProtection="0">
      <alignment vertical="center"/>
    </xf>
    <xf numFmtId="0" fontId="119" fillId="0" borderId="5" applyNumberFormat="0" applyFill="0" applyAlignment="0" applyProtection="0">
      <alignment vertical="center"/>
    </xf>
    <xf numFmtId="168" fontId="119" fillId="0" borderId="5" applyNumberFormat="0" applyFill="0" applyAlignment="0" applyProtection="0">
      <alignment vertical="center"/>
    </xf>
    <xf numFmtId="0" fontId="119" fillId="0" borderId="5" applyNumberFormat="0" applyFill="0" applyAlignment="0" applyProtection="0">
      <alignment vertical="center"/>
    </xf>
    <xf numFmtId="0" fontId="119" fillId="0" borderId="0" applyNumberFormat="0" applyFill="0" applyBorder="0" applyAlignment="0" applyProtection="0">
      <alignment vertical="center"/>
    </xf>
    <xf numFmtId="168" fontId="119" fillId="0" borderId="0" applyNumberFormat="0" applyFill="0" applyBorder="0" applyAlignment="0" applyProtection="0">
      <alignment vertical="center"/>
    </xf>
    <xf numFmtId="168" fontId="116" fillId="0" borderId="0" applyNumberFormat="0" applyFill="0" applyBorder="0" applyAlignment="0" applyProtection="0">
      <alignment vertical="center"/>
    </xf>
    <xf numFmtId="0" fontId="120" fillId="21" borderId="2" applyNumberFormat="0" applyAlignment="0" applyProtection="0">
      <alignment vertical="center"/>
    </xf>
    <xf numFmtId="168" fontId="120" fillId="21" borderId="2" applyNumberFormat="0" applyAlignment="0" applyProtection="0">
      <alignment vertical="center"/>
    </xf>
    <xf numFmtId="0" fontId="73" fillId="0" borderId="0"/>
    <xf numFmtId="0" fontId="121" fillId="0" borderId="9" applyNumberFormat="0" applyFill="0" applyAlignment="0" applyProtection="0">
      <alignment vertical="center"/>
    </xf>
    <xf numFmtId="168" fontId="121" fillId="0" borderId="9" applyNumberFormat="0" applyFill="0" applyAlignment="0" applyProtection="0">
      <alignment vertical="center"/>
    </xf>
    <xf numFmtId="0" fontId="6" fillId="23" borderId="7" applyNumberFormat="0" applyFont="0" applyAlignment="0" applyProtection="0">
      <alignment vertical="center"/>
    </xf>
    <xf numFmtId="168" fontId="6" fillId="23" borderId="7" applyNumberFormat="0" applyFont="0" applyAlignment="0" applyProtection="0">
      <alignment vertical="center"/>
    </xf>
    <xf numFmtId="0" fontId="122" fillId="0" borderId="0" applyNumberFormat="0" applyFill="0" applyBorder="0" applyAlignment="0" applyProtection="0">
      <alignment vertical="center"/>
    </xf>
    <xf numFmtId="168" fontId="122" fillId="0" borderId="0" applyNumberFormat="0" applyFill="0" applyBorder="0" applyAlignment="0" applyProtection="0">
      <alignment vertical="center"/>
    </xf>
    <xf numFmtId="0" fontId="123" fillId="0" borderId="0" applyNumberFormat="0" applyFill="0" applyBorder="0" applyAlignment="0" applyProtection="0">
      <alignment vertical="center"/>
    </xf>
    <xf numFmtId="168" fontId="123" fillId="0" borderId="0" applyNumberFormat="0" applyFill="0" applyBorder="0" applyAlignment="0" applyProtection="0">
      <alignment vertical="center"/>
    </xf>
    <xf numFmtId="0" fontId="124" fillId="20" borderId="1" applyNumberFormat="0" applyAlignment="0" applyProtection="0">
      <alignment vertical="center"/>
    </xf>
    <xf numFmtId="168" fontId="124" fillId="20" borderId="1" applyNumberFormat="0" applyAlignment="0" applyProtection="0">
      <alignment vertical="center"/>
    </xf>
    <xf numFmtId="187" fontId="6" fillId="0" borderId="0" applyFont="0" applyFill="0" applyBorder="0" applyAlignment="0" applyProtection="0"/>
    <xf numFmtId="188" fontId="6" fillId="0" borderId="0" applyFont="0" applyFill="0" applyBorder="0" applyAlignment="0" applyProtection="0"/>
    <xf numFmtId="0" fontId="125" fillId="7" borderId="1" applyNumberFormat="0" applyAlignment="0" applyProtection="0">
      <alignment vertical="center"/>
    </xf>
    <xf numFmtId="168" fontId="125" fillId="7" borderId="1" applyNumberFormat="0" applyAlignment="0" applyProtection="0">
      <alignment vertical="center"/>
    </xf>
    <xf numFmtId="0" fontId="126" fillId="20" borderId="8" applyNumberFormat="0" applyAlignment="0" applyProtection="0">
      <alignment vertical="center"/>
    </xf>
    <xf numFmtId="168" fontId="126" fillId="20" borderId="8" applyNumberFormat="0" applyAlignment="0" applyProtection="0">
      <alignment vertical="center"/>
    </xf>
    <xf numFmtId="0" fontId="127" fillId="22" borderId="0" applyNumberFormat="0" applyBorder="0" applyAlignment="0" applyProtection="0">
      <alignment vertical="center"/>
    </xf>
    <xf numFmtId="168" fontId="127" fillId="22" borderId="0" applyNumberFormat="0" applyBorder="0" applyAlignment="0" applyProtection="0">
      <alignment vertical="center"/>
    </xf>
    <xf numFmtId="0" fontId="128" fillId="0" borderId="6" applyNumberFormat="0" applyFill="0" applyAlignment="0" applyProtection="0">
      <alignment vertical="center"/>
    </xf>
    <xf numFmtId="168" fontId="128" fillId="0" borderId="6" applyNumberFormat="0" applyFill="0" applyAlignment="0" applyProtection="0">
      <alignment vertical="center"/>
    </xf>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3" fillId="0" borderId="0"/>
    <xf numFmtId="0" fontId="3" fillId="0" borderId="0"/>
    <xf numFmtId="43" fontId="3" fillId="0" borderId="0" applyFont="0" applyFill="0" applyBorder="0" applyAlignment="0" applyProtection="0"/>
    <xf numFmtId="0" fontId="3" fillId="42" borderId="0" applyNumberFormat="0" applyBorder="0" applyAlignment="0" applyProtection="0"/>
    <xf numFmtId="0" fontId="3" fillId="46" borderId="0" applyNumberFormat="0" applyBorder="0" applyAlignment="0" applyProtection="0"/>
    <xf numFmtId="0" fontId="3" fillId="50" borderId="0" applyNumberFormat="0" applyBorder="0" applyAlignment="0" applyProtection="0"/>
    <xf numFmtId="0" fontId="3" fillId="54" borderId="0" applyNumberFormat="0" applyBorder="0" applyAlignment="0" applyProtection="0"/>
    <xf numFmtId="0" fontId="3" fillId="58" borderId="0" applyNumberFormat="0" applyBorder="0" applyAlignment="0" applyProtection="0"/>
    <xf numFmtId="0" fontId="3" fillId="61"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59" borderId="0" applyNumberFormat="0" applyBorder="0" applyAlignment="0" applyProtection="0"/>
    <xf numFmtId="0" fontId="3" fillId="62" borderId="0" applyNumberFormat="0" applyBorder="0" applyAlignment="0" applyProtection="0"/>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41" borderId="30" applyNumberFormat="0" applyFont="0" applyAlignment="0" applyProtection="0"/>
    <xf numFmtId="0" fontId="3" fillId="0" borderId="0"/>
    <xf numFmtId="9" fontId="3"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41" fontId="79" fillId="0" borderId="0" applyFont="0" applyFill="0" applyBorder="0" applyAlignment="0" applyProtection="0"/>
    <xf numFmtId="0" fontId="3" fillId="42" borderId="0" applyNumberFormat="0" applyBorder="0" applyAlignment="0" applyProtection="0"/>
    <xf numFmtId="0" fontId="3" fillId="42" borderId="0" applyNumberFormat="0" applyBorder="0" applyAlignment="0" applyProtection="0"/>
    <xf numFmtId="0" fontId="3" fillId="46" borderId="0" applyNumberFormat="0" applyBorder="0" applyAlignment="0" applyProtection="0"/>
    <xf numFmtId="0" fontId="3" fillId="46" borderId="0" applyNumberFormat="0" applyBorder="0" applyAlignment="0" applyProtection="0"/>
    <xf numFmtId="0" fontId="3" fillId="50" borderId="0" applyNumberFormat="0" applyBorder="0" applyAlignment="0" applyProtection="0"/>
    <xf numFmtId="0" fontId="3" fillId="50"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8" borderId="0" applyNumberFormat="0" applyBorder="0" applyAlignment="0" applyProtection="0"/>
    <xf numFmtId="0" fontId="3" fillId="58"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43"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0"/>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0" fontId="3" fillId="0" borderId="10">
      <alignment horizontal="center" wrapText="1"/>
    </xf>
    <xf numFmtId="168" fontId="3" fillId="0" borderId="10">
      <alignment horizontal="center" wrapText="1"/>
    </xf>
    <xf numFmtId="0" fontId="3" fillId="0" borderId="10">
      <alignment horizontal="center" wrapText="1"/>
    </xf>
    <xf numFmtId="0" fontId="3" fillId="0" borderId="10">
      <alignment horizontal="center" wrapText="1"/>
    </xf>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1"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8"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168"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0" fontId="3" fillId="0" borderId="0"/>
    <xf numFmtId="0" fontId="3" fillId="0" borderId="0"/>
    <xf numFmtId="0" fontId="3" fillId="0" borderId="0"/>
    <xf numFmtId="168"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168"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xf numFmtId="168"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168" fontId="3" fillId="0" borderId="0"/>
    <xf numFmtId="0" fontId="3" fillId="0" borderId="0"/>
    <xf numFmtId="168" fontId="3" fillId="0" borderId="0"/>
    <xf numFmtId="0" fontId="3" fillId="0" borderId="0"/>
    <xf numFmtId="0" fontId="3" fillId="0" borderId="0"/>
    <xf numFmtId="168"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0"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3" fillId="0" borderId="0"/>
    <xf numFmtId="168" fontId="3" fillId="0" borderId="0"/>
    <xf numFmtId="0" fontId="6" fillId="0" borderId="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6" fillId="0" borderId="0"/>
    <xf numFmtId="0" fontId="6" fillId="0" borderId="0"/>
    <xf numFmtId="0" fontId="135" fillId="0" borderId="0">
      <alignment vertical="center"/>
    </xf>
    <xf numFmtId="0" fontId="3"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applyFont="0" applyFill="0" applyBorder="0" applyAlignment="0" applyProtection="0"/>
    <xf numFmtId="168" fontId="6" fillId="0" borderId="0" applyFont="0" applyFill="0" applyBorder="0" applyAlignment="0" applyProtection="0"/>
    <xf numFmtId="0" fontId="6" fillId="0" borderId="0" applyFont="0" applyFill="0" applyBorder="0" applyAlignment="0" applyProtection="0"/>
    <xf numFmtId="168" fontId="6" fillId="0" borderId="0" applyFont="0" applyFill="0" applyBorder="0" applyAlignment="0" applyProtection="0"/>
    <xf numFmtId="41" fontId="6" fillId="0" borderId="0" applyFont="0" applyFill="0" applyBorder="0" applyAlignment="0" applyProtection="0"/>
    <xf numFmtId="0" fontId="8"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0" fontId="8"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0" fontId="8"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0" fontId="8"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0" fontId="8"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0" fontId="8"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0" fontId="6" fillId="2" borderId="0" applyNumberFormat="0" applyBorder="0" applyAlignment="0" applyProtection="0">
      <alignment vertical="center"/>
    </xf>
    <xf numFmtId="168" fontId="6" fillId="2" borderId="0" applyNumberFormat="0" applyBorder="0" applyAlignment="0" applyProtection="0">
      <alignment vertical="center"/>
    </xf>
    <xf numFmtId="0" fontId="6" fillId="3" borderId="0" applyNumberFormat="0" applyBorder="0" applyAlignment="0" applyProtection="0">
      <alignment vertical="center"/>
    </xf>
    <xf numFmtId="168" fontId="6" fillId="3" borderId="0" applyNumberFormat="0" applyBorder="0" applyAlignment="0" applyProtection="0">
      <alignment vertical="center"/>
    </xf>
    <xf numFmtId="0" fontId="6" fillId="4" borderId="0" applyNumberFormat="0" applyBorder="0" applyAlignment="0" applyProtection="0">
      <alignment vertical="center"/>
    </xf>
    <xf numFmtId="168" fontId="6" fillId="4" borderId="0" applyNumberFormat="0" applyBorder="0" applyAlignment="0" applyProtection="0">
      <alignment vertical="center"/>
    </xf>
    <xf numFmtId="0" fontId="6" fillId="5" borderId="0" applyNumberFormat="0" applyBorder="0" applyAlignment="0" applyProtection="0">
      <alignment vertical="center"/>
    </xf>
    <xf numFmtId="168" fontId="6" fillId="5" borderId="0" applyNumberFormat="0" applyBorder="0" applyAlignment="0" applyProtection="0">
      <alignment vertical="center"/>
    </xf>
    <xf numFmtId="0" fontId="6" fillId="6" borderId="0" applyNumberFormat="0" applyBorder="0" applyAlignment="0" applyProtection="0">
      <alignment vertical="center"/>
    </xf>
    <xf numFmtId="168" fontId="6" fillId="6" borderId="0" applyNumberFormat="0" applyBorder="0" applyAlignment="0" applyProtection="0">
      <alignment vertical="center"/>
    </xf>
    <xf numFmtId="0" fontId="6" fillId="7" borderId="0" applyNumberFormat="0" applyBorder="0" applyAlignment="0" applyProtection="0">
      <alignment vertical="center"/>
    </xf>
    <xf numFmtId="168" fontId="6" fillId="7" borderId="0" applyNumberFormat="0" applyBorder="0" applyAlignment="0" applyProtection="0">
      <alignment vertical="center"/>
    </xf>
    <xf numFmtId="0" fontId="6" fillId="2" borderId="0" applyNumberFormat="0" applyBorder="0" applyAlignment="0" applyProtection="0">
      <alignment vertical="center"/>
    </xf>
    <xf numFmtId="168" fontId="6" fillId="2" borderId="0" applyNumberFormat="0" applyBorder="0" applyAlignment="0" applyProtection="0">
      <alignment vertical="center"/>
    </xf>
    <xf numFmtId="0" fontId="6" fillId="3" borderId="0" applyNumberFormat="0" applyBorder="0" applyAlignment="0" applyProtection="0">
      <alignment vertical="center"/>
    </xf>
    <xf numFmtId="168" fontId="6" fillId="3" borderId="0" applyNumberFormat="0" applyBorder="0" applyAlignment="0" applyProtection="0">
      <alignment vertical="center"/>
    </xf>
    <xf numFmtId="0" fontId="6" fillId="4" borderId="0" applyNumberFormat="0" applyBorder="0" applyAlignment="0" applyProtection="0">
      <alignment vertical="center"/>
    </xf>
    <xf numFmtId="168" fontId="6" fillId="4" borderId="0" applyNumberFormat="0" applyBorder="0" applyAlignment="0" applyProtection="0">
      <alignment vertical="center"/>
    </xf>
    <xf numFmtId="0" fontId="6" fillId="5" borderId="0" applyNumberFormat="0" applyBorder="0" applyAlignment="0" applyProtection="0">
      <alignment vertical="center"/>
    </xf>
    <xf numFmtId="168" fontId="6" fillId="5" borderId="0" applyNumberFormat="0" applyBorder="0" applyAlignment="0" applyProtection="0">
      <alignment vertical="center"/>
    </xf>
    <xf numFmtId="0" fontId="6" fillId="6" borderId="0" applyNumberFormat="0" applyBorder="0" applyAlignment="0" applyProtection="0">
      <alignment vertical="center"/>
    </xf>
    <xf numFmtId="168" fontId="6" fillId="6" borderId="0" applyNumberFormat="0" applyBorder="0" applyAlignment="0" applyProtection="0">
      <alignment vertical="center"/>
    </xf>
    <xf numFmtId="0" fontId="6" fillId="7" borderId="0" applyNumberFormat="0" applyBorder="0" applyAlignment="0" applyProtection="0">
      <alignment vertical="center"/>
    </xf>
    <xf numFmtId="168" fontId="6" fillId="7" borderId="0" applyNumberFormat="0" applyBorder="0" applyAlignment="0" applyProtection="0">
      <alignment vertical="center"/>
    </xf>
    <xf numFmtId="0" fontId="8"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0" fontId="8"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0" fontId="8"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0" fontId="8"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0" fontId="8"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0" fontId="8"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0" fontId="6" fillId="8" borderId="0" applyNumberFormat="0" applyBorder="0" applyAlignment="0" applyProtection="0">
      <alignment vertical="center"/>
    </xf>
    <xf numFmtId="168" fontId="6" fillId="8" borderId="0" applyNumberFormat="0" applyBorder="0" applyAlignment="0" applyProtection="0">
      <alignment vertical="center"/>
    </xf>
    <xf numFmtId="0" fontId="6" fillId="9" borderId="0" applyNumberFormat="0" applyBorder="0" applyAlignment="0" applyProtection="0">
      <alignment vertical="center"/>
    </xf>
    <xf numFmtId="168" fontId="6" fillId="9" borderId="0" applyNumberFormat="0" applyBorder="0" applyAlignment="0" applyProtection="0">
      <alignment vertical="center"/>
    </xf>
    <xf numFmtId="0" fontId="6" fillId="10" borderId="0" applyNumberFormat="0" applyBorder="0" applyAlignment="0" applyProtection="0">
      <alignment vertical="center"/>
    </xf>
    <xf numFmtId="168" fontId="6" fillId="10" borderId="0" applyNumberFormat="0" applyBorder="0" applyAlignment="0" applyProtection="0">
      <alignment vertical="center"/>
    </xf>
    <xf numFmtId="0" fontId="6" fillId="5" borderId="0" applyNumberFormat="0" applyBorder="0" applyAlignment="0" applyProtection="0">
      <alignment vertical="center"/>
    </xf>
    <xf numFmtId="168" fontId="6" fillId="5" borderId="0" applyNumberFormat="0" applyBorder="0" applyAlignment="0" applyProtection="0">
      <alignment vertical="center"/>
    </xf>
    <xf numFmtId="0" fontId="6" fillId="8" borderId="0" applyNumberFormat="0" applyBorder="0" applyAlignment="0" applyProtection="0">
      <alignment vertical="center"/>
    </xf>
    <xf numFmtId="168" fontId="6" fillId="8" borderId="0" applyNumberFormat="0" applyBorder="0" applyAlignment="0" applyProtection="0">
      <alignment vertical="center"/>
    </xf>
    <xf numFmtId="0" fontId="6" fillId="11" borderId="0" applyNumberFormat="0" applyBorder="0" applyAlignment="0" applyProtection="0">
      <alignment vertical="center"/>
    </xf>
    <xf numFmtId="168" fontId="6" fillId="11" borderId="0" applyNumberFormat="0" applyBorder="0" applyAlignment="0" applyProtection="0">
      <alignment vertical="center"/>
    </xf>
    <xf numFmtId="0" fontId="6" fillId="8" borderId="0" applyNumberFormat="0" applyBorder="0" applyAlignment="0" applyProtection="0">
      <alignment vertical="center"/>
    </xf>
    <xf numFmtId="168" fontId="6" fillId="8" borderId="0" applyNumberFormat="0" applyBorder="0" applyAlignment="0" applyProtection="0">
      <alignment vertical="center"/>
    </xf>
    <xf numFmtId="0" fontId="6" fillId="9" borderId="0" applyNumberFormat="0" applyBorder="0" applyAlignment="0" applyProtection="0">
      <alignment vertical="center"/>
    </xf>
    <xf numFmtId="168" fontId="6" fillId="9" borderId="0" applyNumberFormat="0" applyBorder="0" applyAlignment="0" applyProtection="0">
      <alignment vertical="center"/>
    </xf>
    <xf numFmtId="0" fontId="6" fillId="10" borderId="0" applyNumberFormat="0" applyBorder="0" applyAlignment="0" applyProtection="0">
      <alignment vertical="center"/>
    </xf>
    <xf numFmtId="168" fontId="6" fillId="10" borderId="0" applyNumberFormat="0" applyBorder="0" applyAlignment="0" applyProtection="0">
      <alignment vertical="center"/>
    </xf>
    <xf numFmtId="0" fontId="6" fillId="5" borderId="0" applyNumberFormat="0" applyBorder="0" applyAlignment="0" applyProtection="0">
      <alignment vertical="center"/>
    </xf>
    <xf numFmtId="168" fontId="6" fillId="5" borderId="0" applyNumberFormat="0" applyBorder="0" applyAlignment="0" applyProtection="0">
      <alignment vertical="center"/>
    </xf>
    <xf numFmtId="0" fontId="6" fillId="8" borderId="0" applyNumberFormat="0" applyBorder="0" applyAlignment="0" applyProtection="0">
      <alignment vertical="center"/>
    </xf>
    <xf numFmtId="168" fontId="6" fillId="8" borderId="0" applyNumberFormat="0" applyBorder="0" applyAlignment="0" applyProtection="0">
      <alignment vertical="center"/>
    </xf>
    <xf numFmtId="0" fontId="6" fillId="11" borderId="0" applyNumberFormat="0" applyBorder="0" applyAlignment="0" applyProtection="0">
      <alignment vertical="center"/>
    </xf>
    <xf numFmtId="168" fontId="6" fillId="11" borderId="0" applyNumberFormat="0" applyBorder="0" applyAlignment="0" applyProtection="0">
      <alignment vertical="center"/>
    </xf>
    <xf numFmtId="168" fontId="136" fillId="12" borderId="0" applyNumberFormat="0" applyBorder="0" applyAlignment="0" applyProtection="0"/>
    <xf numFmtId="0" fontId="136" fillId="12" borderId="0" applyNumberFormat="0" applyBorder="0" applyAlignment="0" applyProtection="0"/>
    <xf numFmtId="168" fontId="136" fillId="12" borderId="0" applyNumberFormat="0" applyBorder="0" applyAlignment="0" applyProtection="0"/>
    <xf numFmtId="0" fontId="136" fillId="12" borderId="0" applyNumberFormat="0" applyBorder="0" applyAlignment="0" applyProtection="0"/>
    <xf numFmtId="0" fontId="136" fillId="12" borderId="0" applyNumberFormat="0" applyBorder="0" applyAlignment="0" applyProtection="0"/>
    <xf numFmtId="168" fontId="136" fillId="9" borderId="0" applyNumberFormat="0" applyBorder="0" applyAlignment="0" applyProtection="0"/>
    <xf numFmtId="0" fontId="136" fillId="9" borderId="0" applyNumberFormat="0" applyBorder="0" applyAlignment="0" applyProtection="0"/>
    <xf numFmtId="168" fontId="136" fillId="9" borderId="0" applyNumberFormat="0" applyBorder="0" applyAlignment="0" applyProtection="0"/>
    <xf numFmtId="0" fontId="136" fillId="9" borderId="0" applyNumberFormat="0" applyBorder="0" applyAlignment="0" applyProtection="0"/>
    <xf numFmtId="0" fontId="136" fillId="9" borderId="0" applyNumberFormat="0" applyBorder="0" applyAlignment="0" applyProtection="0"/>
    <xf numFmtId="168" fontId="136" fillId="10" borderId="0" applyNumberFormat="0" applyBorder="0" applyAlignment="0" applyProtection="0"/>
    <xf numFmtId="0" fontId="136" fillId="10" borderId="0" applyNumberFormat="0" applyBorder="0" applyAlignment="0" applyProtection="0"/>
    <xf numFmtId="168" fontId="136" fillId="10" borderId="0" applyNumberFormat="0" applyBorder="0" applyAlignment="0" applyProtection="0"/>
    <xf numFmtId="0" fontId="136" fillId="10" borderId="0" applyNumberFormat="0" applyBorder="0" applyAlignment="0" applyProtection="0"/>
    <xf numFmtId="0" fontId="136" fillId="10" borderId="0" applyNumberFormat="0" applyBorder="0" applyAlignment="0" applyProtection="0"/>
    <xf numFmtId="168" fontId="136" fillId="13" borderId="0" applyNumberFormat="0" applyBorder="0" applyAlignment="0" applyProtection="0"/>
    <xf numFmtId="0" fontId="136" fillId="13" borderId="0" applyNumberFormat="0" applyBorder="0" applyAlignment="0" applyProtection="0"/>
    <xf numFmtId="168" fontId="136" fillId="13" borderId="0" applyNumberFormat="0" applyBorder="0" applyAlignment="0" applyProtection="0"/>
    <xf numFmtId="0" fontId="136" fillId="13" borderId="0" applyNumberFormat="0" applyBorder="0" applyAlignment="0" applyProtection="0"/>
    <xf numFmtId="0" fontId="136" fillId="13" borderId="0" applyNumberFormat="0" applyBorder="0" applyAlignment="0" applyProtection="0"/>
    <xf numFmtId="168" fontId="136" fillId="14" borderId="0" applyNumberFormat="0" applyBorder="0" applyAlignment="0" applyProtection="0"/>
    <xf numFmtId="0" fontId="136" fillId="14" borderId="0" applyNumberFormat="0" applyBorder="0" applyAlignment="0" applyProtection="0"/>
    <xf numFmtId="168" fontId="136" fillId="14" borderId="0" applyNumberFormat="0" applyBorder="0" applyAlignment="0" applyProtection="0"/>
    <xf numFmtId="0" fontId="136" fillId="14" borderId="0" applyNumberFormat="0" applyBorder="0" applyAlignment="0" applyProtection="0"/>
    <xf numFmtId="0" fontId="136" fillId="14" borderId="0" applyNumberFormat="0" applyBorder="0" applyAlignment="0" applyProtection="0"/>
    <xf numFmtId="168" fontId="136" fillId="15" borderId="0" applyNumberFormat="0" applyBorder="0" applyAlignment="0" applyProtection="0"/>
    <xf numFmtId="0" fontId="136" fillId="15" borderId="0" applyNumberFormat="0" applyBorder="0" applyAlignment="0" applyProtection="0"/>
    <xf numFmtId="168" fontId="136" fillId="15" borderId="0" applyNumberFormat="0" applyBorder="0" applyAlignment="0" applyProtection="0"/>
    <xf numFmtId="0" fontId="136" fillId="15" borderId="0" applyNumberFormat="0" applyBorder="0" applyAlignment="0" applyProtection="0"/>
    <xf numFmtId="0" fontId="136" fillId="15" borderId="0" applyNumberFormat="0" applyBorder="0" applyAlignment="0" applyProtection="0"/>
    <xf numFmtId="0" fontId="6" fillId="12" borderId="0" applyNumberFormat="0" applyBorder="0" applyAlignment="0" applyProtection="0">
      <alignment vertical="center"/>
    </xf>
    <xf numFmtId="168" fontId="6" fillId="12" borderId="0" applyNumberFormat="0" applyBorder="0" applyAlignment="0" applyProtection="0">
      <alignment vertical="center"/>
    </xf>
    <xf numFmtId="0" fontId="6" fillId="9" borderId="0" applyNumberFormat="0" applyBorder="0" applyAlignment="0" applyProtection="0">
      <alignment vertical="center"/>
    </xf>
    <xf numFmtId="168" fontId="6" fillId="9" borderId="0" applyNumberFormat="0" applyBorder="0" applyAlignment="0" applyProtection="0">
      <alignment vertical="center"/>
    </xf>
    <xf numFmtId="0" fontId="6" fillId="10" borderId="0" applyNumberFormat="0" applyBorder="0" applyAlignment="0" applyProtection="0">
      <alignment vertical="center"/>
    </xf>
    <xf numFmtId="168" fontId="6" fillId="10" borderId="0" applyNumberFormat="0" applyBorder="0" applyAlignment="0" applyProtection="0">
      <alignment vertical="center"/>
    </xf>
    <xf numFmtId="0" fontId="6" fillId="13" borderId="0" applyNumberFormat="0" applyBorder="0" applyAlignment="0" applyProtection="0">
      <alignment vertical="center"/>
    </xf>
    <xf numFmtId="168" fontId="6" fillId="13" borderId="0" applyNumberFormat="0" applyBorder="0" applyAlignment="0" applyProtection="0">
      <alignment vertical="center"/>
    </xf>
    <xf numFmtId="0" fontId="6" fillId="14" borderId="0" applyNumberFormat="0" applyBorder="0" applyAlignment="0" applyProtection="0">
      <alignment vertical="center"/>
    </xf>
    <xf numFmtId="168" fontId="6" fillId="14" borderId="0" applyNumberFormat="0" applyBorder="0" applyAlignment="0" applyProtection="0">
      <alignment vertical="center"/>
    </xf>
    <xf numFmtId="0" fontId="6" fillId="15" borderId="0" applyNumberFormat="0" applyBorder="0" applyAlignment="0" applyProtection="0">
      <alignment vertical="center"/>
    </xf>
    <xf numFmtId="168" fontId="6" fillId="15" borderId="0" applyNumberFormat="0" applyBorder="0" applyAlignment="0" applyProtection="0">
      <alignment vertical="center"/>
    </xf>
    <xf numFmtId="0" fontId="6" fillId="12" borderId="0" applyNumberFormat="0" applyBorder="0" applyAlignment="0" applyProtection="0">
      <alignment vertical="center"/>
    </xf>
    <xf numFmtId="168" fontId="6" fillId="12" borderId="0" applyNumberFormat="0" applyBorder="0" applyAlignment="0" applyProtection="0">
      <alignment vertical="center"/>
    </xf>
    <xf numFmtId="0" fontId="6" fillId="9" borderId="0" applyNumberFormat="0" applyBorder="0" applyAlignment="0" applyProtection="0">
      <alignment vertical="center"/>
    </xf>
    <xf numFmtId="168" fontId="6" fillId="9" borderId="0" applyNumberFormat="0" applyBorder="0" applyAlignment="0" applyProtection="0">
      <alignment vertical="center"/>
    </xf>
    <xf numFmtId="0" fontId="6" fillId="10" borderId="0" applyNumberFormat="0" applyBorder="0" applyAlignment="0" applyProtection="0">
      <alignment vertical="center"/>
    </xf>
    <xf numFmtId="168" fontId="6" fillId="10" borderId="0" applyNumberFormat="0" applyBorder="0" applyAlignment="0" applyProtection="0">
      <alignment vertical="center"/>
    </xf>
    <xf numFmtId="0" fontId="6" fillId="13" borderId="0" applyNumberFormat="0" applyBorder="0" applyAlignment="0" applyProtection="0">
      <alignment vertical="center"/>
    </xf>
    <xf numFmtId="168" fontId="6" fillId="13" borderId="0" applyNumberFormat="0" applyBorder="0" applyAlignment="0" applyProtection="0">
      <alignment vertical="center"/>
    </xf>
    <xf numFmtId="0" fontId="6" fillId="14" borderId="0" applyNumberFormat="0" applyBorder="0" applyAlignment="0" applyProtection="0">
      <alignment vertical="center"/>
    </xf>
    <xf numFmtId="168" fontId="6" fillId="14" borderId="0" applyNumberFormat="0" applyBorder="0" applyAlignment="0" applyProtection="0">
      <alignment vertical="center"/>
    </xf>
    <xf numFmtId="0" fontId="6" fillId="15" borderId="0" applyNumberFormat="0" applyBorder="0" applyAlignment="0" applyProtection="0">
      <alignment vertical="center"/>
    </xf>
    <xf numFmtId="168" fontId="6" fillId="15" borderId="0" applyNumberFormat="0" applyBorder="0" applyAlignment="0" applyProtection="0">
      <alignment vertical="center"/>
    </xf>
    <xf numFmtId="0" fontId="9"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9" fillId="16"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136" fillId="16"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6" fillId="25"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168"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6" fillId="25"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168" fontId="136" fillId="16" borderId="0" applyNumberFormat="0" applyBorder="0" applyAlignment="0" applyProtection="0"/>
    <xf numFmtId="0" fontId="136" fillId="16" borderId="0" applyNumberFormat="0" applyBorder="0" applyAlignment="0" applyProtection="0"/>
    <xf numFmtId="168" fontId="136" fillId="16" borderId="0" applyNumberFormat="0" applyBorder="0" applyAlignment="0" applyProtection="0"/>
    <xf numFmtId="0" fontId="136" fillId="16" borderId="0" applyNumberFormat="0" applyBorder="0" applyAlignment="0" applyProtection="0"/>
    <xf numFmtId="0" fontId="136" fillId="16" borderId="0" applyNumberFormat="0" applyBorder="0" applyAlignment="0" applyProtection="0"/>
    <xf numFmtId="168" fontId="136" fillId="17" borderId="0" applyNumberFormat="0" applyBorder="0" applyAlignment="0" applyProtection="0"/>
    <xf numFmtId="0" fontId="136" fillId="17" borderId="0" applyNumberFormat="0" applyBorder="0" applyAlignment="0" applyProtection="0"/>
    <xf numFmtId="168" fontId="136" fillId="17" borderId="0" applyNumberFormat="0" applyBorder="0" applyAlignment="0" applyProtection="0"/>
    <xf numFmtId="0" fontId="136" fillId="17" borderId="0" applyNumberFormat="0" applyBorder="0" applyAlignment="0" applyProtection="0"/>
    <xf numFmtId="0" fontId="136" fillId="17" borderId="0" applyNumberFormat="0" applyBorder="0" applyAlignment="0" applyProtection="0"/>
    <xf numFmtId="0" fontId="9" fillId="18" borderId="0" applyNumberFormat="0" applyBorder="0" applyAlignment="0" applyProtection="0"/>
    <xf numFmtId="0" fontId="6" fillId="49" borderId="0" applyNumberFormat="0" applyBorder="0" applyAlignment="0" applyProtection="0"/>
    <xf numFmtId="168" fontId="6" fillId="49" borderId="0" applyNumberFormat="0" applyBorder="0" applyAlignment="0" applyProtection="0"/>
    <xf numFmtId="0" fontId="136" fillId="18" borderId="0" applyNumberFormat="0" applyBorder="0" applyAlignment="0" applyProtection="0"/>
    <xf numFmtId="0" fontId="9" fillId="18" borderId="0" applyNumberFormat="0" applyBorder="0" applyAlignment="0" applyProtection="0"/>
    <xf numFmtId="0" fontId="136" fillId="18" borderId="0" applyNumberFormat="0" applyBorder="0" applyAlignment="0" applyProtection="0"/>
    <xf numFmtId="168" fontId="136" fillId="18" borderId="0" applyNumberFormat="0" applyBorder="0" applyAlignment="0" applyProtection="0"/>
    <xf numFmtId="168" fontId="6" fillId="49" borderId="0" applyNumberFormat="0" applyBorder="0" applyAlignment="0" applyProtection="0"/>
    <xf numFmtId="0" fontId="136" fillId="18" borderId="0" applyNumberFormat="0" applyBorder="0" applyAlignment="0" applyProtection="0"/>
    <xf numFmtId="168" fontId="136" fillId="18" borderId="0" applyNumberFormat="0" applyBorder="0" applyAlignment="0" applyProtection="0"/>
    <xf numFmtId="0" fontId="136" fillId="18" borderId="0" applyNumberFormat="0" applyBorder="0" applyAlignment="0" applyProtection="0"/>
    <xf numFmtId="168" fontId="136" fillId="18" borderId="0" applyNumberFormat="0" applyBorder="0" applyAlignment="0" applyProtection="0"/>
    <xf numFmtId="0" fontId="6" fillId="49" borderId="0" applyNumberFormat="0" applyBorder="0" applyAlignment="0" applyProtection="0"/>
    <xf numFmtId="168" fontId="6" fillId="49" borderId="0" applyNumberFormat="0" applyBorder="0" applyAlignment="0" applyProtection="0"/>
    <xf numFmtId="0" fontId="136" fillId="18" borderId="0" applyNumberFormat="0" applyBorder="0" applyAlignment="0" applyProtection="0"/>
    <xf numFmtId="168" fontId="136" fillId="13" borderId="0" applyNumberFormat="0" applyBorder="0" applyAlignment="0" applyProtection="0"/>
    <xf numFmtId="0" fontId="136" fillId="13" borderId="0" applyNumberFormat="0" applyBorder="0" applyAlignment="0" applyProtection="0"/>
    <xf numFmtId="168" fontId="136" fillId="13" borderId="0" applyNumberFormat="0" applyBorder="0" applyAlignment="0" applyProtection="0"/>
    <xf numFmtId="0" fontId="136" fillId="13" borderId="0" applyNumberFormat="0" applyBorder="0" applyAlignment="0" applyProtection="0"/>
    <xf numFmtId="0" fontId="136" fillId="13" borderId="0" applyNumberFormat="0" applyBorder="0" applyAlignment="0" applyProtection="0"/>
    <xf numFmtId="168" fontId="136" fillId="14" borderId="0" applyNumberFormat="0" applyBorder="0" applyAlignment="0" applyProtection="0"/>
    <xf numFmtId="0" fontId="136" fillId="14" borderId="0" applyNumberFormat="0" applyBorder="0" applyAlignment="0" applyProtection="0"/>
    <xf numFmtId="168" fontId="136" fillId="14" borderId="0" applyNumberFormat="0" applyBorder="0" applyAlignment="0" applyProtection="0"/>
    <xf numFmtId="0" fontId="136" fillId="14" borderId="0" applyNumberFormat="0" applyBorder="0" applyAlignment="0" applyProtection="0"/>
    <xf numFmtId="0" fontId="136" fillId="14" borderId="0" applyNumberFormat="0" applyBorder="0" applyAlignment="0" applyProtection="0"/>
    <xf numFmtId="0" fontId="9"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9" fillId="19"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136" fillId="19"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6" fillId="26"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168"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6" fillId="26"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168" fontId="136" fillId="19" borderId="0" applyNumberFormat="0" applyBorder="0" applyAlignment="0" applyProtection="0"/>
    <xf numFmtId="0" fontId="136" fillId="19" borderId="0" applyNumberFormat="0" applyBorder="0" applyAlignment="0" applyProtection="0"/>
    <xf numFmtId="168" fontId="136" fillId="19" borderId="0" applyNumberFormat="0" applyBorder="0" applyAlignment="0" applyProtection="0"/>
    <xf numFmtId="0" fontId="136" fillId="19" borderId="0" applyNumberFormat="0" applyBorder="0" applyAlignment="0" applyProtection="0"/>
    <xf numFmtId="0" fontId="136" fillId="19" borderId="0" applyNumberFormat="0" applyBorder="0" applyAlignment="0" applyProtection="0"/>
    <xf numFmtId="0" fontId="6" fillId="0" borderId="0">
      <alignment horizontal="center" wrapText="1"/>
      <protection locked="0"/>
    </xf>
    <xf numFmtId="168" fontId="6" fillId="0" borderId="0">
      <alignment horizontal="center" wrapText="1"/>
      <protection locked="0"/>
    </xf>
    <xf numFmtId="0" fontId="10"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10" fillId="3"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3"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27"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27"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71" fontId="6" fillId="0" borderId="22" applyAlignment="0" applyProtection="0"/>
    <xf numFmtId="172" fontId="6" fillId="0" borderId="0" applyFill="0" applyBorder="0" applyAlignment="0"/>
    <xf numFmtId="168" fontId="6" fillId="20" borderId="1" applyNumberFormat="0" applyAlignment="0" applyProtection="0"/>
    <xf numFmtId="0" fontId="6" fillId="20" borderId="1" applyNumberFormat="0" applyAlignment="0" applyProtection="0"/>
    <xf numFmtId="168" fontId="6" fillId="20" borderId="1" applyNumberFormat="0" applyAlignment="0" applyProtection="0"/>
    <xf numFmtId="0" fontId="6" fillId="20" borderId="1" applyNumberFormat="0" applyAlignment="0" applyProtection="0"/>
    <xf numFmtId="0" fontId="6" fillId="20" borderId="1" applyNumberFormat="0" applyAlignment="0" applyProtection="0"/>
    <xf numFmtId="0" fontId="6" fillId="0" borderId="0"/>
    <xf numFmtId="168" fontId="6" fillId="0" borderId="0"/>
    <xf numFmtId="168" fontId="6" fillId="21" borderId="2" applyNumberFormat="0" applyAlignment="0" applyProtection="0"/>
    <xf numFmtId="0" fontId="6" fillId="21" borderId="2" applyNumberFormat="0" applyAlignment="0" applyProtection="0"/>
    <xf numFmtId="168" fontId="6" fillId="21" borderId="2" applyNumberFormat="0" applyAlignment="0" applyProtection="0"/>
    <xf numFmtId="0" fontId="6" fillId="21" borderId="2" applyNumberFormat="0" applyAlignment="0" applyProtection="0"/>
    <xf numFmtId="0" fontId="6" fillId="21" borderId="2" applyNumberFormat="0" applyAlignment="0" applyProtection="0"/>
    <xf numFmtId="0" fontId="6" fillId="0" borderId="10">
      <alignment horizontal="center" wrapText="1"/>
    </xf>
    <xf numFmtId="168" fontId="6"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0" fontId="6" fillId="0" borderId="10">
      <alignment horizontal="center" wrapText="1"/>
    </xf>
    <xf numFmtId="168" fontId="6"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0" fontId="6" fillId="0" borderId="10">
      <alignment horizontal="center" wrapText="1"/>
    </xf>
    <xf numFmtId="168" fontId="6"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0" fontId="6" fillId="0" borderId="10">
      <alignment horizontal="center" wrapText="1"/>
    </xf>
    <xf numFmtId="168" fontId="6" fillId="0" borderId="10">
      <alignment horizontal="center" wrapText="1"/>
    </xf>
    <xf numFmtId="0" fontId="3" fillId="0" borderId="10">
      <alignment horizontal="center" wrapText="1"/>
    </xf>
    <xf numFmtId="41"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4" fontId="6" fillId="0" borderId="0"/>
    <xf numFmtId="40" fontId="6" fillId="0" borderId="0" applyFont="0" applyFill="0" applyBorder="0" applyAlignment="0" applyProtection="0"/>
    <xf numFmtId="175" fontId="6" fillId="0" borderId="0">
      <alignment horizontal="center"/>
    </xf>
    <xf numFmtId="172" fontId="6" fillId="0" borderId="0" applyFont="0" applyFill="0" applyBorder="0" applyAlignment="0" applyProtection="0"/>
    <xf numFmtId="177" fontId="6" fillId="0" borderId="0"/>
    <xf numFmtId="15" fontId="6" fillId="0" borderId="0"/>
    <xf numFmtId="14" fontId="6" fillId="0" borderId="0" applyFill="0" applyBorder="0" applyAlignment="0"/>
    <xf numFmtId="180" fontId="6" fillId="0" borderId="0"/>
    <xf numFmtId="172" fontId="6" fillId="0" borderId="0" applyFill="0" applyBorder="0" applyAlignment="0"/>
    <xf numFmtId="181" fontId="6" fillId="0" borderId="0" applyFill="0" applyBorder="0" applyAlignment="0"/>
    <xf numFmtId="172" fontId="6" fillId="0" borderId="0" applyFill="0" applyBorder="0" applyAlignment="0"/>
    <xf numFmtId="168"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4"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14" fillId="4"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4"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28"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28"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38" fontId="6" fillId="24" borderId="0" applyNumberFormat="0" applyBorder="0" applyAlignment="0" applyProtection="0"/>
    <xf numFmtId="0" fontId="6" fillId="0" borderId="0">
      <alignment horizontal="left"/>
    </xf>
    <xf numFmtId="168" fontId="6" fillId="0" borderId="0">
      <alignment horizontal="left"/>
    </xf>
    <xf numFmtId="0" fontId="6" fillId="0" borderId="32" applyNumberFormat="0" applyAlignment="0" applyProtection="0">
      <alignment horizontal="left" vertical="center"/>
    </xf>
    <xf numFmtId="168" fontId="6" fillId="0" borderId="32" applyNumberFormat="0" applyAlignment="0" applyProtection="0">
      <alignment horizontal="left" vertical="center"/>
    </xf>
    <xf numFmtId="0" fontId="6" fillId="0" borderId="20">
      <alignment horizontal="left" vertical="center"/>
    </xf>
    <xf numFmtId="168" fontId="6" fillId="0" borderId="20">
      <alignment horizontal="left" vertical="center"/>
    </xf>
    <xf numFmtId="168" fontId="6" fillId="0" borderId="3" applyNumberFormat="0" applyFill="0" applyAlignment="0" applyProtection="0"/>
    <xf numFmtId="0" fontId="6" fillId="0" borderId="3" applyNumberFormat="0" applyFill="0" applyAlignment="0" applyProtection="0"/>
    <xf numFmtId="168"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168" fontId="6" fillId="0" borderId="4" applyNumberFormat="0" applyFill="0" applyAlignment="0" applyProtection="0"/>
    <xf numFmtId="0" fontId="6" fillId="0" borderId="4" applyNumberFormat="0" applyFill="0" applyAlignment="0" applyProtection="0"/>
    <xf numFmtId="168" fontId="6" fillId="0" borderId="4" applyNumberFormat="0" applyFill="0" applyAlignment="0" applyProtection="0"/>
    <xf numFmtId="0" fontId="6" fillId="0" borderId="4" applyNumberFormat="0" applyFill="0" applyAlignment="0" applyProtection="0"/>
    <xf numFmtId="0" fontId="6" fillId="0" borderId="4" applyNumberFormat="0" applyFill="0" applyAlignment="0" applyProtection="0"/>
    <xf numFmtId="168" fontId="6" fillId="0" borderId="5" applyNumberFormat="0" applyFill="0" applyAlignment="0" applyProtection="0"/>
    <xf numFmtId="0" fontId="6" fillId="0" borderId="5" applyNumberFormat="0" applyFill="0" applyAlignment="0" applyProtection="0"/>
    <xf numFmtId="168" fontId="6" fillId="0" borderId="5" applyNumberFormat="0" applyFill="0" applyAlignment="0" applyProtection="0"/>
    <xf numFmtId="0" fontId="6" fillId="0" borderId="5" applyNumberFormat="0" applyFill="0" applyAlignment="0" applyProtection="0"/>
    <xf numFmtId="0" fontId="6" fillId="0" borderId="5" applyNumberFormat="0" applyFill="0" applyAlignment="0" applyProtection="0"/>
    <xf numFmtId="168"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alignment vertical="top"/>
      <protection locked="0"/>
    </xf>
    <xf numFmtId="0" fontId="137" fillId="0" borderId="0" applyNumberFormat="0" applyFill="0" applyBorder="0" applyAlignment="0" applyProtection="0">
      <alignment vertical="top"/>
      <protection locked="0"/>
    </xf>
    <xf numFmtId="168" fontId="137" fillId="0" borderId="0" applyNumberFormat="0" applyFill="0" applyBorder="0" applyAlignment="0" applyProtection="0">
      <alignment vertical="top"/>
      <protection locked="0"/>
    </xf>
    <xf numFmtId="0" fontId="137"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168"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137" fillId="0" borderId="0" applyNumberFormat="0" applyFill="0" applyBorder="0" applyAlignment="0" applyProtection="0">
      <alignment vertical="top"/>
      <protection locked="0"/>
    </xf>
    <xf numFmtId="0" fontId="6" fillId="0" borderId="0" applyFont="0" applyFill="0" applyBorder="0" applyAlignment="0" applyProtection="0"/>
    <xf numFmtId="168" fontId="6" fillId="0" borderId="0" applyFont="0" applyFill="0" applyBorder="0" applyAlignment="0" applyProtection="0"/>
    <xf numFmtId="0" fontId="18" fillId="7" borderId="1" applyNumberFormat="0" applyAlignment="0" applyProtection="0"/>
    <xf numFmtId="10" fontId="6" fillId="24" borderId="10" applyNumberFormat="0" applyBorder="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18"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168" fontId="6" fillId="7" borderId="1" applyNumberFormat="0" applyAlignment="0" applyProtection="0"/>
    <xf numFmtId="0"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7" borderId="1" applyNumberFormat="0" applyAlignment="0" applyProtection="0"/>
    <xf numFmtId="168" fontId="6" fillId="7" borderId="1" applyNumberFormat="0" applyAlignment="0" applyProtection="0"/>
    <xf numFmtId="0" fontId="6" fillId="0" borderId="0" applyFont="0" applyFill="0" applyBorder="0" applyAlignment="0" applyProtection="0"/>
    <xf numFmtId="168" fontId="6" fillId="0" borderId="0" applyFont="0" applyFill="0" applyBorder="0" applyAlignment="0" applyProtection="0"/>
    <xf numFmtId="172" fontId="6" fillId="0" borderId="0" applyFill="0" applyBorder="0" applyAlignment="0"/>
    <xf numFmtId="181" fontId="6" fillId="0" borderId="0" applyFill="0" applyBorder="0" applyAlignment="0"/>
    <xf numFmtId="172" fontId="6" fillId="0" borderId="0" applyFill="0" applyBorder="0" applyAlignment="0"/>
    <xf numFmtId="168" fontId="6" fillId="0" borderId="6" applyNumberFormat="0" applyFill="0" applyAlignment="0" applyProtection="0"/>
    <xf numFmtId="0" fontId="6" fillId="0" borderId="6" applyNumberFormat="0" applyFill="0" applyAlignment="0" applyProtection="0"/>
    <xf numFmtId="168" fontId="6" fillId="0" borderId="6" applyNumberFormat="0" applyFill="0" applyAlignment="0" applyProtection="0"/>
    <xf numFmtId="0" fontId="6" fillId="0" borderId="6" applyNumberFormat="0" applyFill="0" applyAlignment="0" applyProtection="0"/>
    <xf numFmtId="0" fontId="6" fillId="0" borderId="6" applyNumberFormat="0" applyFill="0" applyAlignment="0" applyProtection="0"/>
    <xf numFmtId="0" fontId="6" fillId="0" borderId="33"/>
    <xf numFmtId="168" fontId="6" fillId="0" borderId="33"/>
    <xf numFmtId="168" fontId="6" fillId="22" borderId="0" applyNumberFormat="0" applyBorder="0" applyAlignment="0" applyProtection="0"/>
    <xf numFmtId="0" fontId="6" fillId="22" borderId="0" applyNumberFormat="0" applyBorder="0" applyAlignment="0" applyProtection="0"/>
    <xf numFmtId="168" fontId="6" fillId="22" borderId="0" applyNumberFormat="0" applyBorder="0" applyAlignment="0" applyProtection="0"/>
    <xf numFmtId="0" fontId="6" fillId="22" borderId="0" applyNumberFormat="0" applyBorder="0" applyAlignment="0" applyProtection="0"/>
    <xf numFmtId="0" fontId="6" fillId="22" borderId="0" applyNumberFormat="0" applyBorder="0" applyAlignment="0" applyProtection="0"/>
    <xf numFmtId="184" fontId="6" fillId="0" borderId="0"/>
    <xf numFmtId="0" fontId="6" fillId="0" borderId="0"/>
    <xf numFmtId="168"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0" fontId="8"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8" fontId="6" fillId="0" borderId="0"/>
    <xf numFmtId="0" fontId="3" fillId="0" borderId="0"/>
    <xf numFmtId="0" fontId="3"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168" fontId="6" fillId="0" borderId="0"/>
    <xf numFmtId="168" fontId="6" fillId="0" borderId="0"/>
    <xf numFmtId="0" fontId="6" fillId="0" borderId="0"/>
    <xf numFmtId="0" fontId="3" fillId="0" borderId="0"/>
    <xf numFmtId="168" fontId="6" fillId="0" borderId="0"/>
    <xf numFmtId="0" fontId="6" fillId="0" borderId="0"/>
    <xf numFmtId="168"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0" fontId="6" fillId="0" borderId="0"/>
    <xf numFmtId="0" fontId="6" fillId="0" borderId="0"/>
    <xf numFmtId="0" fontId="6" fillId="0" borderId="0"/>
    <xf numFmtId="168" fontId="6" fillId="0" borderId="0"/>
    <xf numFmtId="168"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168"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168" fontId="6" fillId="0" borderId="0"/>
    <xf numFmtId="168"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6" fillId="0" borderId="0"/>
    <xf numFmtId="168" fontId="6" fillId="0" borderId="0"/>
    <xf numFmtId="168" fontId="6" fillId="0" borderId="0"/>
    <xf numFmtId="0" fontId="3" fillId="0" borderId="0"/>
    <xf numFmtId="0" fontId="3" fillId="0" borderId="0"/>
    <xf numFmtId="0" fontId="3" fillId="0" borderId="0"/>
    <xf numFmtId="0" fontId="3" fillId="0" borderId="0"/>
    <xf numFmtId="0" fontId="6" fillId="0" borderId="0"/>
    <xf numFmtId="0" fontId="6" fillId="0" borderId="0"/>
    <xf numFmtId="0" fontId="3" fillId="0" borderId="0"/>
    <xf numFmtId="0" fontId="3" fillId="0" borderId="0"/>
    <xf numFmtId="0" fontId="3" fillId="0" borderId="0"/>
    <xf numFmtId="0" fontId="3" fillId="0" borderId="0"/>
    <xf numFmtId="0" fontId="6" fillId="0" borderId="0"/>
    <xf numFmtId="168" fontId="6" fillId="0" borderId="0"/>
    <xf numFmtId="0" fontId="3" fillId="0" borderId="0"/>
    <xf numFmtId="168" fontId="6" fillId="0" borderId="0"/>
    <xf numFmtId="0" fontId="6" fillId="0" borderId="0"/>
    <xf numFmtId="0" fontId="3"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51" fillId="0" borderId="0"/>
    <xf numFmtId="168" fontId="6" fillId="0" borderId="0"/>
    <xf numFmtId="0" fontId="51" fillId="0" borderId="0"/>
    <xf numFmtId="168" fontId="6" fillId="0" borderId="0"/>
    <xf numFmtId="168" fontId="6" fillId="0" borderId="0"/>
    <xf numFmtId="0" fontId="6" fillId="0" borderId="0"/>
    <xf numFmtId="168" fontId="6" fillId="0" borderId="0"/>
    <xf numFmtId="0" fontId="3"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0" fontId="6" fillId="0" borderId="0"/>
    <xf numFmtId="168" fontId="6" fillId="0" borderId="0"/>
    <xf numFmtId="168" fontId="6" fillId="0" borderId="0"/>
    <xf numFmtId="168" fontId="6" fillId="23" borderId="7" applyNumberFormat="0" applyFont="0" applyAlignment="0" applyProtection="0"/>
    <xf numFmtId="168" fontId="6" fillId="23" borderId="7" applyNumberFormat="0" applyFont="0" applyAlignment="0" applyProtection="0"/>
    <xf numFmtId="168" fontId="6" fillId="20" borderId="8" applyNumberFormat="0" applyAlignment="0" applyProtection="0"/>
    <xf numFmtId="0" fontId="6" fillId="20" borderId="8" applyNumberFormat="0" applyAlignment="0" applyProtection="0"/>
    <xf numFmtId="168" fontId="6" fillId="20" borderId="8" applyNumberFormat="0" applyAlignment="0" applyProtection="0"/>
    <xf numFmtId="0" fontId="6" fillId="20" borderId="8" applyNumberFormat="0" applyAlignment="0" applyProtection="0"/>
    <xf numFmtId="0" fontId="6" fillId="20" borderId="8" applyNumberFormat="0" applyAlignment="0" applyProtection="0"/>
    <xf numFmtId="14" fontId="6" fillId="0" borderId="0">
      <alignment horizontal="center" wrapText="1"/>
      <protection locked="0"/>
    </xf>
    <xf numFmtId="183" fontId="6"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6"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6" fillId="0" borderId="0" applyFont="0" applyFill="0" applyBorder="0" applyAlignment="0" applyProtection="0"/>
    <xf numFmtId="10" fontId="6" fillId="0" borderId="0" applyFont="0" applyFill="0" applyBorder="0" applyAlignment="0" applyProtection="0"/>
    <xf numFmtId="172" fontId="6" fillId="0" borderId="0" applyFill="0" applyBorder="0" applyAlignment="0"/>
    <xf numFmtId="181" fontId="6" fillId="0" borderId="0" applyFill="0" applyBorder="0" applyAlignment="0"/>
    <xf numFmtId="172" fontId="6" fillId="0" borderId="0" applyFill="0" applyBorder="0" applyAlignment="0"/>
    <xf numFmtId="0" fontId="6" fillId="0" borderId="0" applyNumberFormat="0" applyFont="0" applyFill="0" applyBorder="0" applyAlignment="0" applyProtection="0">
      <alignment horizontal="left"/>
    </xf>
    <xf numFmtId="168" fontId="6" fillId="0" borderId="0" applyNumberFormat="0" applyFont="0" applyFill="0" applyBorder="0" applyAlignment="0" applyProtection="0">
      <alignment horizontal="left"/>
    </xf>
    <xf numFmtId="15" fontId="6" fillId="0" borderId="0" applyFont="0" applyFill="0" applyBorder="0" applyAlignment="0" applyProtection="0"/>
    <xf numFmtId="4" fontId="6" fillId="0" borderId="0" applyFont="0" applyFill="0" applyBorder="0" applyAlignment="0" applyProtection="0"/>
    <xf numFmtId="0" fontId="6" fillId="0" borderId="33">
      <alignment horizontal="center"/>
    </xf>
    <xf numFmtId="168" fontId="6" fillId="0" borderId="33">
      <alignment horizontal="center"/>
    </xf>
    <xf numFmtId="3" fontId="6" fillId="0" borderId="0" applyFont="0" applyFill="0" applyBorder="0" applyAlignment="0" applyProtection="0"/>
    <xf numFmtId="0" fontId="6" fillId="65" borderId="0" applyNumberFormat="0" applyFont="0" applyBorder="0" applyAlignment="0" applyProtection="0"/>
    <xf numFmtId="168" fontId="6" fillId="65" borderId="0" applyNumberFormat="0" applyFont="0" applyBorder="0" applyAlignment="0" applyProtection="0"/>
    <xf numFmtId="0" fontId="6" fillId="0" borderId="0" applyFont="0" applyFill="0" applyBorder="0" applyAlignment="0" applyProtection="0"/>
    <xf numFmtId="168" fontId="6" fillId="0" borderId="0" applyFont="0" applyFill="0" applyBorder="0" applyAlignment="0" applyProtection="0"/>
    <xf numFmtId="0" fontId="6" fillId="0" borderId="0" applyFont="0" applyFill="0" applyBorder="0" applyAlignment="0" applyProtection="0"/>
    <xf numFmtId="168" fontId="6" fillId="0" borderId="0" applyFont="0" applyFill="0" applyBorder="0" applyAlignment="0" applyProtection="0"/>
    <xf numFmtId="183" fontId="6" fillId="0" borderId="0">
      <alignment horizontal="center"/>
    </xf>
    <xf numFmtId="0" fontId="6" fillId="0" borderId="0">
      <alignment vertical="center"/>
    </xf>
    <xf numFmtId="168" fontId="6" fillId="0" borderId="0">
      <alignment vertical="center"/>
    </xf>
    <xf numFmtId="0" fontId="6" fillId="0" borderId="0">
      <alignment vertical="top"/>
    </xf>
    <xf numFmtId="168" fontId="6" fillId="0" borderId="0">
      <alignment vertical="top"/>
    </xf>
    <xf numFmtId="168" fontId="6" fillId="0" borderId="0"/>
    <xf numFmtId="0" fontId="6" fillId="0" borderId="0"/>
    <xf numFmtId="0" fontId="6" fillId="0" borderId="0"/>
    <xf numFmtId="168" fontId="6" fillId="0" borderId="0"/>
    <xf numFmtId="49" fontId="6" fillId="0" borderId="0" applyFill="0" applyBorder="0" applyAlignment="0"/>
    <xf numFmtId="186" fontId="6" fillId="0" borderId="0" applyFill="0" applyBorder="0" applyAlignment="0"/>
    <xf numFmtId="0" fontId="22"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168" fontId="6" fillId="0" borderId="9" applyNumberFormat="0" applyFill="0" applyAlignment="0" applyProtection="0"/>
    <xf numFmtId="0" fontId="6" fillId="0" borderId="9" applyNumberFormat="0" applyFill="0" applyAlignment="0" applyProtection="0"/>
    <xf numFmtId="168" fontId="6" fillId="0" borderId="9" applyNumberFormat="0" applyFill="0" applyAlignment="0" applyProtection="0"/>
    <xf numFmtId="0" fontId="6" fillId="0" borderId="9" applyNumberFormat="0" applyFill="0" applyAlignment="0" applyProtection="0"/>
    <xf numFmtId="0" fontId="6" fillId="0" borderId="9" applyNumberFormat="0" applyFill="0" applyAlignment="0" applyProtection="0"/>
    <xf numFmtId="168" fontId="6" fillId="0" borderId="0" applyNumberFormat="0" applyFill="0" applyBorder="0" applyAlignment="0" applyProtection="0"/>
    <xf numFmtId="0" fontId="6" fillId="0" borderId="0" applyNumberFormat="0" applyFill="0" applyBorder="0" applyAlignment="0" applyProtection="0"/>
    <xf numFmtId="168"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lignment horizontal="left"/>
    </xf>
    <xf numFmtId="168" fontId="6" fillId="0" borderId="0">
      <alignment horizontal="left"/>
    </xf>
    <xf numFmtId="0" fontId="6" fillId="0" borderId="0" applyFont="0" applyFill="0" applyBorder="0" applyAlignment="0" applyProtection="0"/>
    <xf numFmtId="168" fontId="6" fillId="0" borderId="0" applyFont="0" applyFill="0" applyBorder="0" applyAlignment="0" applyProtection="0"/>
    <xf numFmtId="0" fontId="6" fillId="16" borderId="0" applyNumberFormat="0" applyBorder="0" applyAlignment="0" applyProtection="0">
      <alignment vertical="center"/>
    </xf>
    <xf numFmtId="168" fontId="6" fillId="16" borderId="0" applyNumberFormat="0" applyBorder="0" applyAlignment="0" applyProtection="0">
      <alignment vertical="center"/>
    </xf>
    <xf numFmtId="0" fontId="6" fillId="17" borderId="0" applyNumberFormat="0" applyBorder="0" applyAlignment="0" applyProtection="0">
      <alignment vertical="center"/>
    </xf>
    <xf numFmtId="168" fontId="6" fillId="17" borderId="0" applyNumberFormat="0" applyBorder="0" applyAlignment="0" applyProtection="0">
      <alignment vertical="center"/>
    </xf>
    <xf numFmtId="0" fontId="6" fillId="18" borderId="0" applyNumberFormat="0" applyBorder="0" applyAlignment="0" applyProtection="0">
      <alignment vertical="center"/>
    </xf>
    <xf numFmtId="168" fontId="6" fillId="18" borderId="0" applyNumberFormat="0" applyBorder="0" applyAlignment="0" applyProtection="0">
      <alignment vertical="center"/>
    </xf>
    <xf numFmtId="0" fontId="6" fillId="13" borderId="0" applyNumberFormat="0" applyBorder="0" applyAlignment="0" applyProtection="0">
      <alignment vertical="center"/>
    </xf>
    <xf numFmtId="168" fontId="6" fillId="13" borderId="0" applyNumberFormat="0" applyBorder="0" applyAlignment="0" applyProtection="0">
      <alignment vertical="center"/>
    </xf>
    <xf numFmtId="0" fontId="6" fillId="14" borderId="0" applyNumberFormat="0" applyBorder="0" applyAlignment="0" applyProtection="0">
      <alignment vertical="center"/>
    </xf>
    <xf numFmtId="168" fontId="6" fillId="14" borderId="0" applyNumberFormat="0" applyBorder="0" applyAlignment="0" applyProtection="0">
      <alignment vertical="center"/>
    </xf>
    <xf numFmtId="0" fontId="6" fillId="19" borderId="0" applyNumberFormat="0" applyBorder="0" applyAlignment="0" applyProtection="0">
      <alignment vertical="center"/>
    </xf>
    <xf numFmtId="168" fontId="6" fillId="19" borderId="0" applyNumberFormat="0" applyBorder="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20" borderId="1" applyNumberFormat="0" applyAlignment="0" applyProtection="0">
      <alignment vertical="center"/>
    </xf>
    <xf numFmtId="168" fontId="6" fillId="20" borderId="1" applyNumberFormat="0" applyAlignment="0" applyProtection="0">
      <alignment vertical="center"/>
    </xf>
    <xf numFmtId="0" fontId="6" fillId="3" borderId="0" applyNumberFormat="0" applyBorder="0" applyAlignment="0" applyProtection="0">
      <alignment vertical="center"/>
    </xf>
    <xf numFmtId="168" fontId="6" fillId="3" borderId="0" applyNumberFormat="0" applyBorder="0" applyAlignment="0" applyProtection="0">
      <alignment vertical="center"/>
    </xf>
    <xf numFmtId="0" fontId="6" fillId="22" borderId="0" applyNumberFormat="0" applyBorder="0" applyAlignment="0" applyProtection="0">
      <alignment vertical="center"/>
    </xf>
    <xf numFmtId="168" fontId="6" fillId="22" borderId="0" applyNumberFormat="0" applyBorder="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21" borderId="2" applyNumberFormat="0" applyAlignment="0" applyProtection="0">
      <alignment vertical="center"/>
    </xf>
    <xf numFmtId="168" fontId="6" fillId="21" borderId="2" applyNumberFormat="0" applyAlignment="0" applyProtection="0">
      <alignment vertical="center"/>
    </xf>
    <xf numFmtId="0" fontId="6" fillId="0" borderId="6" applyNumberFormat="0" applyFill="0" applyAlignment="0" applyProtection="0">
      <alignment vertical="center"/>
    </xf>
    <xf numFmtId="168" fontId="6" fillId="0" borderId="6" applyNumberFormat="0" applyFill="0" applyAlignment="0" applyProtection="0">
      <alignment vertical="center"/>
    </xf>
    <xf numFmtId="0" fontId="6" fillId="0" borderId="9" applyNumberFormat="0" applyFill="0" applyAlignment="0" applyProtection="0">
      <alignment vertical="center"/>
    </xf>
    <xf numFmtId="168" fontId="6" fillId="0" borderId="9" applyNumberFormat="0" applyFill="0" applyAlignment="0" applyProtection="0">
      <alignment vertical="center"/>
    </xf>
    <xf numFmtId="0" fontId="6" fillId="7" borderId="1" applyNumberFormat="0" applyAlignment="0" applyProtection="0">
      <alignment vertical="center"/>
    </xf>
    <xf numFmtId="168" fontId="6" fillId="7" borderId="1" applyNumberFormat="0" applyAlignment="0" applyProtection="0">
      <alignment vertical="center"/>
    </xf>
    <xf numFmtId="0" fontId="6" fillId="0" borderId="0" applyNumberFormat="0" applyFill="0" applyBorder="0" applyAlignment="0" applyProtection="0">
      <alignment vertical="center"/>
    </xf>
    <xf numFmtId="0" fontId="6" fillId="0" borderId="3" applyNumberFormat="0" applyFill="0" applyAlignment="0" applyProtection="0">
      <alignment vertical="center"/>
    </xf>
    <xf numFmtId="168" fontId="6" fillId="0" borderId="3" applyNumberFormat="0" applyFill="0" applyAlignment="0" applyProtection="0">
      <alignment vertical="center"/>
    </xf>
    <xf numFmtId="0" fontId="6" fillId="0" borderId="4" applyNumberFormat="0" applyFill="0" applyAlignment="0" applyProtection="0">
      <alignment vertical="center"/>
    </xf>
    <xf numFmtId="168" fontId="6" fillId="0" borderId="4" applyNumberFormat="0" applyFill="0" applyAlignment="0" applyProtection="0">
      <alignment vertical="center"/>
    </xf>
    <xf numFmtId="0" fontId="6" fillId="0" borderId="5" applyNumberFormat="0" applyFill="0" applyAlignment="0" applyProtection="0">
      <alignment vertical="center"/>
    </xf>
    <xf numFmtId="168" fontId="6" fillId="0" borderId="5" applyNumberFormat="0" applyFill="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4" borderId="0" applyNumberFormat="0" applyBorder="0" applyAlignment="0" applyProtection="0">
      <alignment vertical="center"/>
    </xf>
    <xf numFmtId="168" fontId="6" fillId="4" borderId="0" applyNumberFormat="0" applyBorder="0" applyAlignment="0" applyProtection="0">
      <alignment vertical="center"/>
    </xf>
    <xf numFmtId="0" fontId="6" fillId="20" borderId="8" applyNumberFormat="0" applyAlignment="0" applyProtection="0">
      <alignment vertical="center"/>
    </xf>
    <xf numFmtId="168" fontId="6" fillId="20" borderId="8" applyNumberFormat="0" applyAlignment="0" applyProtection="0">
      <alignment vertical="center"/>
    </xf>
    <xf numFmtId="0" fontId="6" fillId="0" borderId="0" applyFont="0" applyFill="0" applyBorder="0" applyAlignment="0" applyProtection="0"/>
    <xf numFmtId="168" fontId="6" fillId="0" borderId="0" applyFont="0" applyFill="0" applyBorder="0" applyAlignment="0" applyProtection="0"/>
    <xf numFmtId="0" fontId="6" fillId="4" borderId="0" applyNumberFormat="0" applyBorder="0" applyAlignment="0" applyProtection="0">
      <alignment vertical="center"/>
    </xf>
    <xf numFmtId="168" fontId="6" fillId="4" borderId="0" applyNumberFormat="0" applyBorder="0" applyAlignment="0" applyProtection="0">
      <alignment vertical="center"/>
    </xf>
    <xf numFmtId="0" fontId="6" fillId="3" borderId="0" applyNumberFormat="0" applyBorder="0" applyAlignment="0" applyProtection="0">
      <alignment vertical="center"/>
    </xf>
    <xf numFmtId="168" fontId="6" fillId="3" borderId="0" applyNumberFormat="0" applyBorder="0" applyAlignment="0" applyProtection="0">
      <alignment vertical="center"/>
    </xf>
    <xf numFmtId="0" fontId="6" fillId="16" borderId="0" applyNumberFormat="0" applyBorder="0" applyAlignment="0" applyProtection="0">
      <alignment vertical="center"/>
    </xf>
    <xf numFmtId="168" fontId="6" fillId="16" borderId="0" applyNumberFormat="0" applyBorder="0" applyAlignment="0" applyProtection="0">
      <alignment vertical="center"/>
    </xf>
    <xf numFmtId="0" fontId="6" fillId="17" borderId="0" applyNumberFormat="0" applyBorder="0" applyAlignment="0" applyProtection="0">
      <alignment vertical="center"/>
    </xf>
    <xf numFmtId="168" fontId="6" fillId="17" borderId="0" applyNumberFormat="0" applyBorder="0" applyAlignment="0" applyProtection="0">
      <alignment vertical="center"/>
    </xf>
    <xf numFmtId="0" fontId="6" fillId="18" borderId="0" applyNumberFormat="0" applyBorder="0" applyAlignment="0" applyProtection="0">
      <alignment vertical="center"/>
    </xf>
    <xf numFmtId="168" fontId="6" fillId="18" borderId="0" applyNumberFormat="0" applyBorder="0" applyAlignment="0" applyProtection="0">
      <alignment vertical="center"/>
    </xf>
    <xf numFmtId="0" fontId="6" fillId="13" borderId="0" applyNumberFormat="0" applyBorder="0" applyAlignment="0" applyProtection="0">
      <alignment vertical="center"/>
    </xf>
    <xf numFmtId="168" fontId="6" fillId="13" borderId="0" applyNumberFormat="0" applyBorder="0" applyAlignment="0" applyProtection="0">
      <alignment vertical="center"/>
    </xf>
    <xf numFmtId="0" fontId="6" fillId="14" borderId="0" applyNumberFormat="0" applyBorder="0" applyAlignment="0" applyProtection="0">
      <alignment vertical="center"/>
    </xf>
    <xf numFmtId="168" fontId="6" fillId="14" borderId="0" applyNumberFormat="0" applyBorder="0" applyAlignment="0" applyProtection="0">
      <alignment vertical="center"/>
    </xf>
    <xf numFmtId="0" fontId="6" fillId="19" borderId="0" applyNumberFormat="0" applyBorder="0" applyAlignment="0" applyProtection="0">
      <alignment vertical="center"/>
    </xf>
    <xf numFmtId="168" fontId="6" fillId="19" borderId="0" applyNumberFormat="0" applyBorder="0" applyAlignment="0" applyProtection="0">
      <alignment vertical="center"/>
    </xf>
    <xf numFmtId="0" fontId="6" fillId="0" borderId="0" applyNumberFormat="0" applyFill="0" applyBorder="0" applyAlignment="0" applyProtection="0">
      <alignment vertical="center"/>
    </xf>
    <xf numFmtId="0" fontId="6" fillId="0" borderId="3" applyNumberFormat="0" applyFill="0" applyAlignment="0" applyProtection="0">
      <alignment vertical="center"/>
    </xf>
    <xf numFmtId="168" fontId="6" fillId="0" borderId="3" applyNumberFormat="0" applyFill="0" applyAlignment="0" applyProtection="0">
      <alignment vertical="center"/>
    </xf>
    <xf numFmtId="0" fontId="6" fillId="0" borderId="4" applyNumberFormat="0" applyFill="0" applyAlignment="0" applyProtection="0">
      <alignment vertical="center"/>
    </xf>
    <xf numFmtId="168" fontId="6" fillId="0" borderId="4" applyNumberFormat="0" applyFill="0" applyAlignment="0" applyProtection="0">
      <alignment vertical="center"/>
    </xf>
    <xf numFmtId="0" fontId="6" fillId="0" borderId="5" applyNumberFormat="0" applyFill="0" applyAlignment="0" applyProtection="0">
      <alignment vertical="center"/>
    </xf>
    <xf numFmtId="168" fontId="6" fillId="0" borderId="5" applyNumberFormat="0" applyFill="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21" borderId="2" applyNumberFormat="0" applyAlignment="0" applyProtection="0">
      <alignment vertical="center"/>
    </xf>
    <xf numFmtId="168" fontId="6" fillId="21" borderId="2" applyNumberFormat="0" applyAlignment="0" applyProtection="0">
      <alignment vertical="center"/>
    </xf>
    <xf numFmtId="0" fontId="6" fillId="0" borderId="9" applyNumberFormat="0" applyFill="0" applyAlignment="0" applyProtection="0">
      <alignment vertical="center"/>
    </xf>
    <xf numFmtId="168" fontId="6" fillId="0" borderId="9" applyNumberFormat="0" applyFill="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0" borderId="0" applyNumberFormat="0" applyFill="0" applyBorder="0" applyAlignment="0" applyProtection="0">
      <alignment vertical="center"/>
    </xf>
    <xf numFmtId="168" fontId="6" fillId="0" borderId="0" applyNumberFormat="0" applyFill="0" applyBorder="0" applyAlignment="0" applyProtection="0">
      <alignment vertical="center"/>
    </xf>
    <xf numFmtId="0" fontId="6" fillId="20" borderId="1" applyNumberFormat="0" applyAlignment="0" applyProtection="0">
      <alignment vertical="center"/>
    </xf>
    <xf numFmtId="168" fontId="6" fillId="20" borderId="1" applyNumberFormat="0" applyAlignment="0" applyProtection="0">
      <alignment vertical="center"/>
    </xf>
    <xf numFmtId="0" fontId="6" fillId="7" borderId="1" applyNumberFormat="0" applyAlignment="0" applyProtection="0">
      <alignment vertical="center"/>
    </xf>
    <xf numFmtId="168" fontId="6" fillId="7" borderId="1" applyNumberFormat="0" applyAlignment="0" applyProtection="0">
      <alignment vertical="center"/>
    </xf>
    <xf numFmtId="0" fontId="6" fillId="20" borderId="8" applyNumberFormat="0" applyAlignment="0" applyProtection="0">
      <alignment vertical="center"/>
    </xf>
    <xf numFmtId="168" fontId="6" fillId="20" borderId="8" applyNumberFormat="0" applyAlignment="0" applyProtection="0">
      <alignment vertical="center"/>
    </xf>
    <xf numFmtId="0" fontId="6" fillId="22" borderId="0" applyNumberFormat="0" applyBorder="0" applyAlignment="0" applyProtection="0">
      <alignment vertical="center"/>
    </xf>
    <xf numFmtId="168" fontId="6" fillId="22" borderId="0" applyNumberFormat="0" applyBorder="0" applyAlignment="0" applyProtection="0">
      <alignment vertical="center"/>
    </xf>
    <xf numFmtId="0" fontId="6" fillId="0" borderId="6" applyNumberFormat="0" applyFill="0" applyAlignment="0" applyProtection="0">
      <alignment vertical="center"/>
    </xf>
    <xf numFmtId="168" fontId="6" fillId="0" borderId="6" applyNumberFormat="0" applyFill="0" applyAlignment="0" applyProtection="0">
      <alignment vertical="center"/>
    </xf>
    <xf numFmtId="0" fontId="3" fillId="0" borderId="0"/>
    <xf numFmtId="0" fontId="3" fillId="62" borderId="0" applyNumberFormat="0" applyBorder="0" applyAlignment="0" applyProtection="0"/>
    <xf numFmtId="0" fontId="3" fillId="46" borderId="0" applyNumberFormat="0" applyBorder="0" applyAlignment="0" applyProtection="0"/>
    <xf numFmtId="0" fontId="65" fillId="0" borderId="0" applyNumberFormat="0" applyFill="0" applyBorder="0" applyAlignment="0" applyProtection="0"/>
    <xf numFmtId="0" fontId="18" fillId="7" borderId="1" applyNumberFormat="0" applyAlignment="0" applyProtection="0"/>
    <xf numFmtId="0" fontId="3" fillId="43" borderId="0" applyNumberFormat="0" applyBorder="0" applyAlignment="0" applyProtection="0"/>
    <xf numFmtId="0" fontId="6" fillId="0" borderId="0"/>
    <xf numFmtId="0" fontId="23" fillId="0" borderId="9" applyNumberFormat="0" applyFill="0" applyAlignment="0" applyProtection="0"/>
    <xf numFmtId="0" fontId="11" fillId="20" borderId="1" applyNumberFormat="0" applyAlignment="0" applyProtection="0"/>
    <xf numFmtId="0" fontId="138" fillId="0" borderId="0" applyNumberFormat="0" applyFill="0" applyBorder="0" applyAlignment="0" applyProtection="0">
      <alignment vertical="top"/>
      <protection locked="0"/>
    </xf>
    <xf numFmtId="168" fontId="23" fillId="0" borderId="9" applyNumberFormat="0" applyFill="0" applyAlignment="0" applyProtection="0"/>
    <xf numFmtId="0" fontId="63" fillId="40" borderId="29" applyNumberFormat="0" applyAlignment="0" applyProtection="0"/>
    <xf numFmtId="0" fontId="3" fillId="58" borderId="0" applyNumberFormat="0" applyBorder="0" applyAlignment="0" applyProtection="0"/>
    <xf numFmtId="0" fontId="21" fillId="20" borderId="8" applyNumberFormat="0" applyAlignment="0" applyProtection="0"/>
    <xf numFmtId="0" fontId="61" fillId="39" borderId="26" applyNumberFormat="0" applyAlignment="0" applyProtection="0"/>
    <xf numFmtId="0" fontId="3" fillId="47" borderId="0" applyNumberFormat="0" applyBorder="0" applyAlignment="0" applyProtection="0"/>
    <xf numFmtId="0" fontId="3" fillId="0" borderId="0"/>
    <xf numFmtId="0" fontId="3" fillId="0" borderId="0"/>
    <xf numFmtId="168" fontId="21" fillId="20" borderId="8" applyNumberFormat="0" applyAlignment="0" applyProtection="0"/>
    <xf numFmtId="0" fontId="3" fillId="0" borderId="0"/>
    <xf numFmtId="0" fontId="57" fillId="0" borderId="25" applyNumberFormat="0" applyFill="0" applyAlignment="0" applyProtection="0"/>
    <xf numFmtId="0" fontId="28" fillId="45" borderId="0" applyNumberFormat="0" applyBorder="0" applyAlignment="0" applyProtection="0"/>
    <xf numFmtId="0" fontId="3" fillId="51" borderId="0" applyNumberFormat="0" applyBorder="0" applyAlignment="0" applyProtection="0"/>
    <xf numFmtId="0" fontId="3" fillId="54" borderId="0" applyNumberFormat="0" applyBorder="0" applyAlignment="0" applyProtection="0"/>
    <xf numFmtId="0" fontId="23" fillId="0" borderId="9" applyNumberFormat="0" applyFill="0" applyAlignment="0" applyProtection="0"/>
    <xf numFmtId="0" fontId="11" fillId="20" borderId="1" applyNumberFormat="0" applyAlignment="0" applyProtection="0"/>
    <xf numFmtId="0" fontId="11" fillId="20" borderId="1" applyNumberFormat="0" applyAlignment="0" applyProtection="0"/>
    <xf numFmtId="0" fontId="18" fillId="7" borderId="1" applyNumberFormat="0" applyAlignment="0" applyProtection="0"/>
    <xf numFmtId="0" fontId="64" fillId="0" borderId="0" applyNumberFormat="0" applyFill="0" applyBorder="0" applyAlignment="0" applyProtection="0"/>
    <xf numFmtId="0" fontId="21" fillId="20" borderId="8" applyNumberFormat="0" applyAlignment="0" applyProtection="0"/>
    <xf numFmtId="0" fontId="57" fillId="0" borderId="0" applyNumberFormat="0" applyFill="0" applyBorder="0" applyAlignment="0" applyProtection="0"/>
    <xf numFmtId="0" fontId="28" fillId="52" borderId="0" applyNumberFormat="0" applyBorder="0" applyAlignment="0" applyProtection="0"/>
    <xf numFmtId="168" fontId="18" fillId="7" borderId="1" applyNumberFormat="0" applyAlignment="0" applyProtection="0"/>
    <xf numFmtId="0" fontId="55" fillId="0" borderId="23" applyNumberFormat="0" applyFill="0" applyAlignment="0" applyProtection="0"/>
    <xf numFmtId="0" fontId="62" fillId="0" borderId="28" applyNumberFormat="0" applyFill="0" applyAlignment="0" applyProtection="0"/>
    <xf numFmtId="0" fontId="3" fillId="55" borderId="0" applyNumberFormat="0" applyBorder="0" applyAlignment="0" applyProtection="0"/>
    <xf numFmtId="0" fontId="67" fillId="0" borderId="0" applyNumberFormat="0" applyFill="0" applyBorder="0" applyAlignment="0" applyProtection="0">
      <alignment vertical="top"/>
      <protection locked="0"/>
    </xf>
    <xf numFmtId="0" fontId="23" fillId="0" borderId="9" applyNumberFormat="0" applyFill="0" applyAlignment="0" applyProtection="0"/>
    <xf numFmtId="0" fontId="3" fillId="59" borderId="0" applyNumberFormat="0" applyBorder="0" applyAlignment="0" applyProtection="0"/>
    <xf numFmtId="0" fontId="3" fillId="41" borderId="30" applyNumberFormat="0" applyFont="0" applyAlignment="0" applyProtection="0"/>
    <xf numFmtId="0" fontId="3" fillId="0" borderId="0"/>
    <xf numFmtId="0" fontId="51" fillId="0" borderId="0"/>
    <xf numFmtId="0" fontId="68" fillId="0" borderId="0" applyNumberFormat="0" applyFill="0" applyBorder="0" applyAlignment="0" applyProtection="0">
      <alignment vertical="top"/>
      <protection locked="0"/>
    </xf>
    <xf numFmtId="0" fontId="28" fillId="56" borderId="0" applyNumberFormat="0" applyBorder="0" applyAlignment="0" applyProtection="0"/>
    <xf numFmtId="0" fontId="3" fillId="61" borderId="0" applyNumberFormat="0" applyBorder="0" applyAlignment="0" applyProtection="0"/>
    <xf numFmtId="0" fontId="3" fillId="42" borderId="0" applyNumberFormat="0" applyBorder="0" applyAlignment="0" applyProtection="0"/>
    <xf numFmtId="0" fontId="3" fillId="0" borderId="0"/>
    <xf numFmtId="0" fontId="132" fillId="0" borderId="0" applyBorder="0"/>
    <xf numFmtId="0" fontId="140" fillId="0" borderId="0">
      <alignment vertical="center"/>
    </xf>
    <xf numFmtId="0" fontId="18" fillId="7" borderId="1" applyNumberFormat="0" applyAlignment="0" applyProtection="0"/>
    <xf numFmtId="0" fontId="139" fillId="0" borderId="0">
      <alignment vertical="center"/>
    </xf>
    <xf numFmtId="0" fontId="6" fillId="0" borderId="0"/>
    <xf numFmtId="0" fontId="28" fillId="44" borderId="0" applyNumberFormat="0" applyBorder="0" applyAlignment="0" applyProtection="0"/>
    <xf numFmtId="0" fontId="28" fillId="63" borderId="0" applyNumberFormat="0" applyBorder="0" applyAlignment="0" applyProtection="0"/>
    <xf numFmtId="0" fontId="3" fillId="50" borderId="0" applyNumberFormat="0" applyBorder="0" applyAlignment="0" applyProtection="0"/>
    <xf numFmtId="0" fontId="21" fillId="20" borderId="8" applyNumberFormat="0" applyAlignment="0" applyProtection="0"/>
    <xf numFmtId="168" fontId="11" fillId="20" borderId="1" applyNumberFormat="0" applyAlignment="0" applyProtection="0"/>
    <xf numFmtId="0" fontId="54" fillId="0" borderId="31" applyNumberFormat="0" applyFill="0" applyAlignment="0" applyProtection="0"/>
    <xf numFmtId="0" fontId="60" fillId="39" borderId="27" applyNumberFormat="0" applyAlignment="0" applyProtection="0"/>
    <xf numFmtId="0" fontId="56" fillId="0" borderId="24" applyNumberFormat="0" applyFill="0" applyAlignment="0" applyProtection="0"/>
    <xf numFmtId="0" fontId="28" fillId="53" borderId="0" applyNumberFormat="0" applyBorder="0" applyAlignment="0" applyProtection="0"/>
    <xf numFmtId="0" fontId="28" fillId="49" borderId="0" applyNumberFormat="0" applyBorder="0" applyAlignment="0" applyProtection="0"/>
    <xf numFmtId="0" fontId="28" fillId="48" borderId="0" applyNumberFormat="0" applyBorder="0" applyAlignment="0" applyProtection="0"/>
    <xf numFmtId="0" fontId="6" fillId="0" borderId="0"/>
  </cellStyleXfs>
  <cellXfs count="156">
    <xf numFmtId="0" fontId="0" fillId="0" borderId="0" xfId="0"/>
    <xf numFmtId="0" fontId="6" fillId="0" borderId="0" xfId="0" applyFont="1"/>
    <xf numFmtId="0" fontId="6" fillId="0" borderId="0" xfId="0" applyFont="1" applyAlignment="1">
      <alignment wrapText="1"/>
    </xf>
    <xf numFmtId="0" fontId="0" fillId="0" borderId="0" xfId="0" applyAlignment="1">
      <alignment wrapText="1"/>
    </xf>
    <xf numFmtId="0" fontId="0" fillId="0" borderId="0" xfId="0" applyAlignment="1">
      <alignment horizontal="center" vertical="center" wrapText="1"/>
    </xf>
    <xf numFmtId="0" fontId="38" fillId="31" borderId="0" xfId="0" applyFont="1" applyFill="1" applyAlignment="1" applyProtection="1">
      <alignment horizontal="center" vertical="center"/>
      <protection locked="0"/>
    </xf>
    <xf numFmtId="0" fontId="39" fillId="0" borderId="10" xfId="0" applyFont="1" applyBorder="1" applyAlignment="1" applyProtection="1">
      <alignment horizontal="right" vertical="center"/>
      <protection locked="0"/>
    </xf>
    <xf numFmtId="0" fontId="39" fillId="0" borderId="10" xfId="0" applyFont="1" applyBorder="1" applyAlignment="1" applyProtection="1">
      <alignment horizontal="left" vertical="center"/>
      <protection locked="0"/>
    </xf>
    <xf numFmtId="0" fontId="39" fillId="29" borderId="10" xfId="0" applyFont="1" applyFill="1" applyBorder="1" applyAlignment="1" applyProtection="1">
      <alignment vertical="center"/>
      <protection locked="0"/>
    </xf>
    <xf numFmtId="0" fontId="39" fillId="0" borderId="10" xfId="0" applyFont="1" applyBorder="1" applyAlignment="1" applyProtection="1">
      <alignment horizontal="right" vertical="center" wrapText="1"/>
      <protection locked="0"/>
    </xf>
    <xf numFmtId="164" fontId="40" fillId="0" borderId="10" xfId="0" applyNumberFormat="1" applyFont="1" applyBorder="1" applyAlignment="1" applyProtection="1">
      <alignment horizontal="center" vertical="center" wrapText="1"/>
      <protection locked="0"/>
    </xf>
    <xf numFmtId="0" fontId="39" fillId="0" borderId="10" xfId="0" applyFont="1" applyBorder="1" applyAlignment="1" applyProtection="1">
      <alignment horizontal="left" vertical="center" wrapText="1"/>
      <protection locked="0"/>
    </xf>
    <xf numFmtId="0" fontId="39" fillId="35" borderId="10" xfId="0" applyFont="1" applyFill="1" applyBorder="1" applyAlignment="1" applyProtection="1">
      <alignment vertical="center"/>
      <protection locked="0"/>
    </xf>
    <xf numFmtId="0" fontId="39" fillId="0" borderId="10" xfId="0" applyFont="1" applyBorder="1" applyAlignment="1" applyProtection="1">
      <alignment vertical="center"/>
      <protection locked="0"/>
    </xf>
    <xf numFmtId="0" fontId="41" fillId="24" borderId="10" xfId="292" applyFont="1" applyFill="1" applyBorder="1" applyAlignment="1" applyProtection="1">
      <alignment horizontal="center" vertical="center"/>
      <protection locked="0"/>
    </xf>
    <xf numFmtId="0" fontId="42" fillId="30" borderId="10" xfId="301" applyFont="1" applyFill="1" applyBorder="1" applyAlignment="1" applyProtection="1">
      <alignment horizontal="right" vertical="center" wrapText="1"/>
      <protection locked="0"/>
    </xf>
    <xf numFmtId="0" fontId="42" fillId="0" borderId="10" xfId="301" applyFont="1" applyBorder="1" applyAlignment="1">
      <alignment horizontal="center" vertical="center"/>
    </xf>
    <xf numFmtId="0" fontId="40" fillId="0" borderId="10" xfId="301" applyFont="1" applyBorder="1" applyAlignment="1" applyProtection="1">
      <alignment horizontal="center" vertical="center"/>
      <protection locked="0"/>
    </xf>
    <xf numFmtId="2" fontId="40" fillId="0" borderId="10" xfId="301" applyNumberFormat="1" applyFont="1" applyBorder="1" applyAlignment="1" applyProtection="1">
      <alignment horizontal="center" vertical="center"/>
      <protection locked="0"/>
    </xf>
    <xf numFmtId="0" fontId="42" fillId="0" borderId="10" xfId="0" applyFont="1" applyBorder="1"/>
    <xf numFmtId="0" fontId="43" fillId="24" borderId="0" xfId="292" applyFont="1" applyFill="1" applyAlignment="1" applyProtection="1">
      <alignment horizontal="center" vertical="center"/>
      <protection locked="0"/>
    </xf>
    <xf numFmtId="2" fontId="40" fillId="0" borderId="10" xfId="301" applyNumberFormat="1" applyFont="1" applyBorder="1" applyAlignment="1">
      <alignment horizontal="center" vertical="center"/>
    </xf>
    <xf numFmtId="0" fontId="39" fillId="0" borderId="10" xfId="301" applyFont="1" applyBorder="1" applyAlignment="1">
      <alignment horizontal="center" vertical="center"/>
    </xf>
    <xf numFmtId="0" fontId="39" fillId="0" borderId="10" xfId="0" applyFont="1" applyBorder="1" applyAlignment="1" applyProtection="1">
      <alignment horizontal="center" vertical="center"/>
      <protection locked="0"/>
    </xf>
    <xf numFmtId="0" fontId="39" fillId="0" borderId="10" xfId="0" applyFont="1" applyBorder="1" applyAlignment="1" applyProtection="1">
      <alignment horizontal="center" vertical="center" wrapText="1"/>
      <protection locked="0"/>
    </xf>
    <xf numFmtId="0" fontId="39" fillId="24" borderId="10" xfId="0" applyFont="1" applyFill="1" applyBorder="1" applyAlignment="1" applyProtection="1">
      <alignment horizontal="center" vertical="center"/>
      <protection locked="0"/>
    </xf>
    <xf numFmtId="0" fontId="38" fillId="0" borderId="10" xfId="0" applyFont="1" applyBorder="1" applyAlignment="1" applyProtection="1">
      <alignment horizontal="center" vertical="center"/>
      <protection locked="0"/>
    </xf>
    <xf numFmtId="0" fontId="38" fillId="33" borderId="10" xfId="301" applyFont="1" applyFill="1" applyBorder="1" applyAlignment="1">
      <alignment horizontal="center" vertical="center"/>
    </xf>
    <xf numFmtId="0" fontId="45" fillId="31" borderId="10" xfId="0" applyFont="1" applyFill="1" applyBorder="1" applyAlignment="1" applyProtection="1">
      <alignment vertical="center"/>
      <protection locked="0"/>
    </xf>
    <xf numFmtId="0" fontId="45" fillId="31" borderId="0" xfId="0" applyFont="1" applyFill="1" applyAlignment="1" applyProtection="1">
      <alignment horizontal="center" vertical="center"/>
      <protection locked="0"/>
    </xf>
    <xf numFmtId="0" fontId="38" fillId="32" borderId="10" xfId="301" applyFont="1" applyFill="1" applyBorder="1" applyAlignment="1">
      <alignment horizontal="center" vertical="center"/>
    </xf>
    <xf numFmtId="0" fontId="38" fillId="0" borderId="0" xfId="0" applyFont="1" applyAlignment="1" applyProtection="1">
      <alignment horizontal="center" vertical="center"/>
      <protection locked="0"/>
    </xf>
    <xf numFmtId="0" fontId="45" fillId="0" borderId="0" xfId="0" applyFont="1" applyAlignment="1" applyProtection="1">
      <alignment horizontal="center" vertical="center"/>
      <protection locked="0"/>
    </xf>
    <xf numFmtId="0" fontId="45" fillId="31" borderId="10" xfId="0" applyFont="1" applyFill="1" applyBorder="1" applyAlignment="1" applyProtection="1">
      <alignment horizontal="center" vertical="center"/>
      <protection locked="0"/>
    </xf>
    <xf numFmtId="0" fontId="45" fillId="31" borderId="10" xfId="0" applyFont="1" applyFill="1" applyBorder="1" applyAlignment="1" applyProtection="1">
      <alignment vertical="center" wrapText="1"/>
      <protection locked="0"/>
    </xf>
    <xf numFmtId="0" fontId="45" fillId="31" borderId="10" xfId="0" applyFont="1" applyFill="1" applyBorder="1" applyAlignment="1" applyProtection="1">
      <alignment horizontal="left" vertical="center"/>
      <protection locked="0"/>
    </xf>
    <xf numFmtId="0" fontId="45" fillId="0" borderId="10" xfId="0" applyFont="1" applyBorder="1" applyAlignment="1" applyProtection="1">
      <alignment horizontal="left" vertical="center" wrapText="1"/>
      <protection locked="0"/>
    </xf>
    <xf numFmtId="0" fontId="45" fillId="31" borderId="10" xfId="0" applyFont="1" applyFill="1" applyBorder="1" applyAlignment="1" applyProtection="1">
      <alignment horizontal="left" vertical="center" wrapText="1"/>
      <protection locked="0"/>
    </xf>
    <xf numFmtId="0" fontId="45" fillId="0" borderId="10" xfId="0" applyFont="1" applyBorder="1" applyAlignment="1" applyProtection="1">
      <alignment horizontal="center" vertical="center"/>
      <protection locked="0"/>
    </xf>
    <xf numFmtId="0" fontId="44" fillId="0" borderId="0" xfId="0" applyFont="1"/>
    <xf numFmtId="0" fontId="45" fillId="24" borderId="10" xfId="0" applyFont="1" applyFill="1" applyBorder="1" applyAlignment="1" applyProtection="1">
      <alignment horizontal="center" vertical="center"/>
      <protection locked="0"/>
    </xf>
    <xf numFmtId="0" fontId="45" fillId="0" borderId="0" xfId="0" applyFont="1"/>
    <xf numFmtId="0" fontId="45"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xf numFmtId="0" fontId="38" fillId="0" borderId="12" xfId="0" applyFont="1" applyBorder="1" applyAlignment="1" applyProtection="1">
      <alignment horizontal="center" vertical="center"/>
      <protection locked="0"/>
    </xf>
    <xf numFmtId="0" fontId="37" fillId="0" borderId="10" xfId="0" applyFont="1" applyBorder="1" applyAlignment="1" applyProtection="1">
      <alignment horizontal="center" vertical="center" wrapText="1"/>
      <protection locked="0"/>
    </xf>
    <xf numFmtId="0" fontId="37" fillId="0" borderId="10" xfId="0" applyFont="1" applyBorder="1" applyAlignment="1" applyProtection="1">
      <alignment horizontal="center" vertical="center"/>
      <protection locked="0"/>
    </xf>
    <xf numFmtId="0" fontId="37" fillId="24" borderId="10" xfId="0" applyFont="1" applyFill="1" applyBorder="1" applyAlignment="1" applyProtection="1">
      <alignment horizontal="center" vertical="center"/>
      <protection locked="0"/>
    </xf>
    <xf numFmtId="0" fontId="45" fillId="24" borderId="10" xfId="0" applyFont="1" applyFill="1" applyBorder="1" applyAlignment="1" applyProtection="1">
      <alignment horizontal="left" vertical="center"/>
      <protection locked="0"/>
    </xf>
    <xf numFmtId="0" fontId="45" fillId="0" borderId="10" xfId="0" applyFont="1" applyBorder="1" applyAlignment="1" applyProtection="1">
      <alignment vertical="center"/>
      <protection locked="0"/>
    </xf>
    <xf numFmtId="0" fontId="36" fillId="0" borderId="10" xfId="0" applyFont="1" applyBorder="1" applyAlignment="1" applyProtection="1">
      <alignment horizontal="left" vertical="center"/>
      <protection locked="0"/>
    </xf>
    <xf numFmtId="0" fontId="45" fillId="0" borderId="10" xfId="0" applyFont="1" applyBorder="1" applyAlignment="1" applyProtection="1">
      <alignment horizontal="left" vertical="center"/>
      <protection locked="0"/>
    </xf>
    <xf numFmtId="0" fontId="42" fillId="0" borderId="10" xfId="301" applyFont="1" applyBorder="1" applyAlignment="1">
      <alignment horizontal="left" vertical="center"/>
    </xf>
    <xf numFmtId="0" fontId="39" fillId="0" borderId="10" xfId="301" applyFont="1" applyBorder="1" applyAlignment="1">
      <alignment horizontal="left" vertical="center"/>
    </xf>
    <xf numFmtId="0" fontId="37" fillId="0" borderId="10" xfId="0" applyFont="1" applyBorder="1" applyAlignment="1" applyProtection="1">
      <alignment horizontal="left" vertical="center" wrapText="1"/>
      <protection locked="0"/>
    </xf>
    <xf numFmtId="0" fontId="45" fillId="31" borderId="10" xfId="0" applyFont="1" applyFill="1" applyBorder="1" applyAlignment="1" applyProtection="1">
      <alignment horizontal="center" vertical="center" wrapText="1"/>
      <protection locked="0"/>
    </xf>
    <xf numFmtId="0" fontId="45" fillId="0" borderId="16" xfId="0" applyFont="1" applyBorder="1" applyAlignment="1" applyProtection="1">
      <alignment vertical="center"/>
      <protection locked="0"/>
    </xf>
    <xf numFmtId="0" fontId="37" fillId="0" borderId="15" xfId="0" applyFont="1" applyBorder="1" applyAlignment="1" applyProtection="1">
      <alignment vertical="center" wrapText="1"/>
      <protection locked="0"/>
    </xf>
    <xf numFmtId="0" fontId="38" fillId="33" borderId="15" xfId="301" applyFont="1" applyFill="1" applyBorder="1" applyAlignment="1">
      <alignment horizontal="center" vertical="center"/>
    </xf>
    <xf numFmtId="0" fontId="38" fillId="33" borderId="11" xfId="301" applyFont="1" applyFill="1" applyBorder="1" applyAlignment="1">
      <alignment horizontal="center" vertical="center"/>
    </xf>
    <xf numFmtId="0" fontId="39" fillId="24" borderId="14" xfId="0" applyFont="1" applyFill="1" applyBorder="1" applyAlignment="1" applyProtection="1">
      <alignment horizontal="center" vertical="center"/>
      <protection locked="0"/>
    </xf>
    <xf numFmtId="0" fontId="38" fillId="0" borderId="15" xfId="301" applyFont="1" applyBorder="1" applyAlignment="1">
      <alignment vertical="center"/>
    </xf>
    <xf numFmtId="0" fontId="39" fillId="0" borderId="14" xfId="0" applyFont="1" applyBorder="1" applyAlignment="1" applyProtection="1">
      <alignment horizontal="center" vertical="center"/>
      <protection locked="0"/>
    </xf>
    <xf numFmtId="0" fontId="39" fillId="0" borderId="14" xfId="0" applyFont="1" applyBorder="1" applyAlignment="1" applyProtection="1">
      <alignment horizontal="center" vertical="center" wrapText="1"/>
      <protection locked="0"/>
    </xf>
    <xf numFmtId="0" fontId="39" fillId="0" borderId="14" xfId="0" applyFont="1" applyBorder="1" applyAlignment="1" applyProtection="1">
      <alignment horizontal="left" vertical="center" wrapText="1"/>
      <protection locked="0"/>
    </xf>
    <xf numFmtId="0" fontId="45" fillId="0" borderId="10" xfId="0" applyFont="1" applyBorder="1"/>
    <xf numFmtId="0" fontId="36" fillId="0" borderId="13" xfId="0" applyFont="1" applyBorder="1" applyAlignment="1" applyProtection="1">
      <alignment horizontal="left" vertical="center" wrapText="1"/>
      <protection locked="0"/>
    </xf>
    <xf numFmtId="0" fontId="46" fillId="0" borderId="10" xfId="0" applyFont="1" applyBorder="1" applyAlignment="1" applyProtection="1">
      <alignment horizontal="left" vertical="center" wrapText="1"/>
      <protection locked="0"/>
    </xf>
    <xf numFmtId="0" fontId="46" fillId="0" borderId="14" xfId="0" applyFont="1" applyBorder="1" applyAlignment="1" applyProtection="1">
      <alignment horizontal="left" vertical="center" wrapText="1"/>
      <protection locked="0"/>
    </xf>
    <xf numFmtId="0" fontId="45" fillId="31" borderId="0" xfId="0" applyFont="1" applyFill="1" applyAlignment="1" applyProtection="1">
      <alignment horizontal="left" vertical="center"/>
      <protection locked="0"/>
    </xf>
    <xf numFmtId="0" fontId="45" fillId="0" borderId="13" xfId="0" applyFont="1" applyBorder="1" applyAlignment="1" applyProtection="1">
      <alignment vertical="center"/>
      <protection locked="0"/>
    </xf>
    <xf numFmtId="0" fontId="45" fillId="0" borderId="12" xfId="0" applyFont="1" applyBorder="1" applyAlignment="1" applyProtection="1">
      <alignment vertical="center"/>
      <protection locked="0"/>
    </xf>
    <xf numFmtId="0" fontId="45" fillId="0" borderId="20" xfId="0" applyFont="1" applyBorder="1" applyAlignment="1" applyProtection="1">
      <alignment vertical="center"/>
      <protection locked="0"/>
    </xf>
    <xf numFmtId="0" fontId="38" fillId="24" borderId="10" xfId="0" applyFont="1" applyFill="1" applyBorder="1" applyAlignment="1" applyProtection="1">
      <alignment horizontal="left" vertical="center"/>
      <protection locked="0"/>
    </xf>
    <xf numFmtId="0" fontId="48" fillId="0" borderId="10" xfId="0" applyFont="1" applyBorder="1" applyAlignment="1">
      <alignment horizontal="center"/>
    </xf>
    <xf numFmtId="0" fontId="45" fillId="0" borderId="0" xfId="0" applyFont="1" applyAlignment="1" applyProtection="1">
      <alignment vertical="center"/>
      <protection locked="0"/>
    </xf>
    <xf numFmtId="0" fontId="38" fillId="0" borderId="10" xfId="0" applyFont="1" applyBorder="1" applyAlignment="1" applyProtection="1">
      <alignment horizontal="left" vertical="top" wrapText="1"/>
      <protection locked="0"/>
    </xf>
    <xf numFmtId="0" fontId="45" fillId="36" borderId="10" xfId="0" applyFont="1" applyFill="1" applyBorder="1" applyAlignment="1" applyProtection="1">
      <alignment vertical="center"/>
      <protection locked="0"/>
    </xf>
    <xf numFmtId="0" fontId="45" fillId="36" borderId="16" xfId="0" applyFont="1" applyFill="1" applyBorder="1" applyAlignment="1" applyProtection="1">
      <alignment vertical="center"/>
      <protection locked="0"/>
    </xf>
    <xf numFmtId="0" fontId="48" fillId="0" borderId="10" xfId="0" applyFont="1" applyBorder="1" applyAlignment="1">
      <alignment horizontal="center" vertical="center" textRotation="90"/>
    </xf>
    <xf numFmtId="0" fontId="48" fillId="0" borderId="0" xfId="0" applyFont="1" applyAlignment="1">
      <alignment horizontal="center"/>
    </xf>
    <xf numFmtId="0" fontId="48" fillId="0" borderId="10" xfId="0" applyFont="1" applyBorder="1" applyAlignment="1">
      <alignment vertical="center" textRotation="90"/>
    </xf>
    <xf numFmtId="0" fontId="45" fillId="0" borderId="10" xfId="0" applyFont="1" applyBorder="1" applyAlignment="1">
      <alignment vertical="center"/>
    </xf>
    <xf numFmtId="0" fontId="44" fillId="0" borderId="10" xfId="0" applyFont="1" applyBorder="1" applyAlignment="1">
      <alignment horizontal="left"/>
    </xf>
    <xf numFmtId="0" fontId="49" fillId="0" borderId="15" xfId="0" applyFont="1" applyBorder="1" applyAlignment="1">
      <alignment horizontal="left"/>
    </xf>
    <xf numFmtId="0" fontId="50" fillId="0" borderId="21" xfId="0" applyFont="1" applyBorder="1" applyAlignment="1">
      <alignment wrapText="1" readingOrder="1"/>
    </xf>
    <xf numFmtId="0" fontId="52" fillId="31" borderId="10" xfId="6456" applyFont="1" applyFill="1" applyBorder="1" applyAlignment="1" applyProtection="1">
      <alignment horizontal="center" vertical="center"/>
      <protection locked="0"/>
    </xf>
    <xf numFmtId="0" fontId="39" fillId="67" borderId="10" xfId="0" applyFont="1" applyFill="1" applyBorder="1" applyAlignment="1" applyProtection="1">
      <alignment horizontal="center" vertical="center" wrapText="1"/>
      <protection locked="0"/>
    </xf>
    <xf numFmtId="0" fontId="39" fillId="66" borderId="10" xfId="6454" applyFont="1" applyFill="1" applyBorder="1" applyAlignment="1" applyProtection="1">
      <alignment horizontal="center" vertical="center" wrapText="1"/>
      <protection locked="0"/>
    </xf>
    <xf numFmtId="0" fontId="45" fillId="0" borderId="11" xfId="0" applyFont="1" applyBorder="1" applyAlignment="1" applyProtection="1">
      <alignment horizontal="center" vertical="center" wrapText="1"/>
      <protection locked="0"/>
    </xf>
    <xf numFmtId="0" fontId="45" fillId="0" borderId="10" xfId="0" applyFont="1" applyBorder="1" applyAlignment="1" applyProtection="1">
      <alignment horizontal="center" vertical="center" wrapText="1"/>
      <protection locked="0"/>
    </xf>
    <xf numFmtId="0" fontId="39" fillId="67" borderId="10" xfId="375" applyFont="1" applyFill="1" applyBorder="1" applyAlignment="1" applyProtection="1">
      <alignment horizontal="center" vertical="center" wrapText="1"/>
      <protection locked="0"/>
    </xf>
    <xf numFmtId="0" fontId="39" fillId="67" borderId="10" xfId="0" applyFont="1" applyFill="1" applyBorder="1" applyAlignment="1" applyProtection="1">
      <alignment horizontal="center" vertical="center"/>
      <protection locked="0"/>
    </xf>
    <xf numFmtId="0" fontId="39" fillId="66" borderId="10" xfId="6454" applyFont="1" applyFill="1" applyBorder="1" applyAlignment="1" applyProtection="1">
      <alignment horizontal="center" vertical="center"/>
      <protection locked="0"/>
    </xf>
    <xf numFmtId="0" fontId="45" fillId="35" borderId="10" xfId="0" applyFont="1" applyFill="1" applyBorder="1" applyAlignment="1" applyProtection="1">
      <alignment vertical="center"/>
      <protection locked="0"/>
    </xf>
    <xf numFmtId="0" fontId="52" fillId="31" borderId="10" xfId="6454" applyFont="1" applyFill="1" applyBorder="1" applyAlignment="1" applyProtection="1">
      <alignment horizontal="center" vertical="center"/>
      <protection locked="0"/>
    </xf>
    <xf numFmtId="0" fontId="52" fillId="31" borderId="10" xfId="380" applyFont="1" applyFill="1" applyBorder="1" applyAlignment="1" applyProtection="1">
      <alignment horizontal="left" vertical="center"/>
      <protection locked="0"/>
    </xf>
    <xf numFmtId="0" fontId="48" fillId="0" borderId="10" xfId="380" applyFont="1" applyBorder="1" applyAlignment="1">
      <alignment horizontal="left"/>
    </xf>
    <xf numFmtId="0" fontId="52" fillId="31" borderId="10" xfId="6500" applyFont="1" applyFill="1" applyBorder="1" applyAlignment="1" applyProtection="1">
      <alignment horizontal="left" vertical="center"/>
      <protection locked="0"/>
    </xf>
    <xf numFmtId="0" fontId="45" fillId="0" borderId="14" xfId="0" applyFont="1" applyBorder="1" applyAlignment="1" applyProtection="1">
      <alignment horizontal="center" vertical="center" wrapText="1"/>
      <protection locked="0"/>
    </xf>
    <xf numFmtId="0" fontId="42" fillId="30" borderId="10" xfId="301" applyFont="1" applyFill="1" applyBorder="1" applyAlignment="1" applyProtection="1">
      <alignment horizontal="center" vertical="center" wrapText="1"/>
      <protection locked="0"/>
    </xf>
    <xf numFmtId="0" fontId="52" fillId="31" borderId="10" xfId="6488" applyFont="1" applyFill="1" applyBorder="1" applyAlignment="1" applyProtection="1">
      <alignment horizontal="left" vertical="center" wrapText="1"/>
      <protection locked="0"/>
    </xf>
    <xf numFmtId="0" fontId="45" fillId="0" borderId="10" xfId="0" applyFont="1" applyBorder="1" applyAlignment="1" applyProtection="1">
      <alignment vertical="center" wrapText="1"/>
      <protection locked="0"/>
    </xf>
    <xf numFmtId="0" fontId="38" fillId="32" borderId="14" xfId="301" applyFont="1" applyFill="1" applyBorder="1" applyAlignment="1">
      <alignment horizontal="center" vertical="center"/>
    </xf>
    <xf numFmtId="0" fontId="38" fillId="32" borderId="15" xfId="301" applyFont="1" applyFill="1" applyBorder="1" applyAlignment="1">
      <alignment horizontal="center" vertical="center"/>
    </xf>
    <xf numFmtId="0" fontId="48" fillId="0" borderId="14" xfId="0" applyFont="1" applyBorder="1" applyAlignment="1">
      <alignment horizontal="center" vertical="center" textRotation="90"/>
    </xf>
    <xf numFmtId="0" fontId="48" fillId="0" borderId="15" xfId="0" applyFont="1" applyBorder="1" applyAlignment="1">
      <alignment horizontal="center" vertical="center" textRotation="90"/>
    </xf>
    <xf numFmtId="0" fontId="48" fillId="0" borderId="11" xfId="0" applyFont="1" applyBorder="1" applyAlignment="1">
      <alignment horizontal="center" vertical="center" textRotation="90"/>
    </xf>
    <xf numFmtId="0" fontId="38" fillId="32" borderId="10" xfId="301" applyFont="1" applyFill="1" applyBorder="1" applyAlignment="1">
      <alignment horizontal="center" vertical="center"/>
    </xf>
    <xf numFmtId="0" fontId="45" fillId="31" borderId="15" xfId="0" applyFont="1" applyFill="1" applyBorder="1" applyAlignment="1" applyProtection="1">
      <alignment horizontal="left" vertical="center"/>
      <protection locked="0"/>
    </xf>
    <xf numFmtId="0" fontId="45" fillId="31" borderId="11" xfId="0" applyFont="1" applyFill="1" applyBorder="1" applyAlignment="1" applyProtection="1">
      <alignment horizontal="left" vertical="center"/>
      <protection locked="0"/>
    </xf>
    <xf numFmtId="0" fontId="45" fillId="31" borderId="10" xfId="0" applyFont="1" applyFill="1" applyBorder="1" applyAlignment="1" applyProtection="1">
      <alignment horizontal="left" vertical="center" wrapText="1"/>
      <protection locked="0"/>
    </xf>
    <xf numFmtId="0" fontId="45" fillId="31" borderId="14" xfId="0" applyFont="1" applyFill="1" applyBorder="1" applyAlignment="1" applyProtection="1">
      <alignment horizontal="left" vertical="center"/>
      <protection locked="0"/>
    </xf>
    <xf numFmtId="0" fontId="45" fillId="31" borderId="14" xfId="0" applyFont="1" applyFill="1" applyBorder="1" applyAlignment="1" applyProtection="1">
      <alignment horizontal="left" vertical="center" wrapText="1"/>
      <protection locked="0"/>
    </xf>
    <xf numFmtId="0" fontId="45" fillId="31" borderId="15" xfId="0" applyFont="1" applyFill="1" applyBorder="1" applyAlignment="1" applyProtection="1">
      <alignment horizontal="left" vertical="center" wrapText="1"/>
      <protection locked="0"/>
    </xf>
    <xf numFmtId="0" fontId="45" fillId="31" borderId="11" xfId="0" applyFont="1" applyFill="1" applyBorder="1" applyAlignment="1" applyProtection="1">
      <alignment horizontal="left" vertical="center" wrapText="1"/>
      <protection locked="0"/>
    </xf>
    <xf numFmtId="0" fontId="45" fillId="0" borderId="14" xfId="0" applyFont="1" applyBorder="1" applyAlignment="1" applyProtection="1">
      <alignment horizontal="left" vertical="center"/>
      <protection locked="0"/>
    </xf>
    <xf numFmtId="0" fontId="45" fillId="0" borderId="15" xfId="0" applyFont="1" applyBorder="1" applyAlignment="1" applyProtection="1">
      <alignment horizontal="left" vertical="center"/>
      <protection locked="0"/>
    </xf>
    <xf numFmtId="0" fontId="45" fillId="0" borderId="11" xfId="0" applyFont="1" applyBorder="1" applyAlignment="1" applyProtection="1">
      <alignment horizontal="left" vertical="center"/>
      <protection locked="0"/>
    </xf>
    <xf numFmtId="0" fontId="45" fillId="0" borderId="14" xfId="0" applyFont="1" applyBorder="1" applyAlignment="1" applyProtection="1">
      <alignment horizontal="center" vertical="center"/>
      <protection locked="0"/>
    </xf>
    <xf numFmtId="0" fontId="45" fillId="0" borderId="15" xfId="0" applyFont="1" applyBorder="1" applyAlignment="1" applyProtection="1">
      <alignment horizontal="center" vertical="center"/>
      <protection locked="0"/>
    </xf>
    <xf numFmtId="0" fontId="45" fillId="0" borderId="11" xfId="0" applyFont="1" applyBorder="1" applyAlignment="1" applyProtection="1">
      <alignment horizontal="center" vertical="center"/>
      <protection locked="0"/>
    </xf>
    <xf numFmtId="0" fontId="37" fillId="34" borderId="10" xfId="0" applyFont="1" applyFill="1" applyBorder="1" applyAlignment="1" applyProtection="1">
      <alignment horizontal="center" vertical="center"/>
      <protection locked="0" hidden="1"/>
    </xf>
    <xf numFmtId="0" fontId="48" fillId="0" borderId="10" xfId="0" applyFont="1" applyBorder="1" applyAlignment="1">
      <alignment horizontal="center" vertical="center" textRotation="90"/>
    </xf>
    <xf numFmtId="0" fontId="37" fillId="34" borderId="12" xfId="0" applyFont="1" applyFill="1" applyBorder="1" applyAlignment="1" applyProtection="1">
      <alignment horizontal="center" vertical="center"/>
      <protection locked="0" hidden="1"/>
    </xf>
    <xf numFmtId="0" fontId="37" fillId="34" borderId="20" xfId="0" applyFont="1" applyFill="1" applyBorder="1" applyAlignment="1" applyProtection="1">
      <alignment horizontal="center" vertical="center"/>
      <protection locked="0" hidden="1"/>
    </xf>
    <xf numFmtId="0" fontId="37" fillId="34" borderId="17" xfId="0" applyFont="1" applyFill="1" applyBorder="1" applyAlignment="1" applyProtection="1">
      <alignment horizontal="center" vertical="center"/>
      <protection locked="0" hidden="1"/>
    </xf>
    <xf numFmtId="0" fontId="39" fillId="0" borderId="10" xfId="0" applyFont="1" applyBorder="1" applyAlignment="1" applyProtection="1">
      <alignment horizontal="right" vertical="center"/>
      <protection locked="0"/>
    </xf>
    <xf numFmtId="0" fontId="39" fillId="0" borderId="10" xfId="0" applyFont="1" applyBorder="1" applyAlignment="1" applyProtection="1">
      <alignment horizontal="left" vertical="center"/>
      <protection locked="0"/>
    </xf>
    <xf numFmtId="0" fontId="39" fillId="31" borderId="10" xfId="0" applyFont="1" applyFill="1" applyBorder="1" applyAlignment="1" applyProtection="1">
      <alignment horizontal="right" vertical="center" wrapText="1"/>
      <protection locked="0"/>
    </xf>
    <xf numFmtId="0" fontId="39" fillId="0" borderId="10" xfId="0" applyFont="1" applyBorder="1" applyAlignment="1" applyProtection="1">
      <alignment horizontal="right" vertical="center" wrapText="1"/>
      <protection locked="0"/>
    </xf>
    <xf numFmtId="0" fontId="37" fillId="34" borderId="10" xfId="0" applyFont="1" applyFill="1" applyBorder="1" applyAlignment="1" applyProtection="1">
      <alignment horizontal="left" vertical="center"/>
      <protection locked="0" hidden="1"/>
    </xf>
    <xf numFmtId="0" fontId="39" fillId="0" borderId="10" xfId="0" applyFont="1" applyBorder="1" applyAlignment="1" applyProtection="1">
      <alignment horizontal="left" vertical="center" wrapText="1"/>
      <protection locked="0"/>
    </xf>
    <xf numFmtId="0" fontId="37" fillId="0" borderId="14" xfId="0" applyFont="1" applyBorder="1" applyAlignment="1" applyProtection="1">
      <alignment horizontal="center" vertical="center" wrapText="1"/>
      <protection locked="0"/>
    </xf>
    <xf numFmtId="0" fontId="37" fillId="0" borderId="15" xfId="0" applyFont="1" applyBorder="1" applyAlignment="1" applyProtection="1">
      <alignment horizontal="center" vertical="center" wrapText="1"/>
      <protection locked="0"/>
    </xf>
    <xf numFmtId="0" fontId="37" fillId="0" borderId="11" xfId="0" applyFont="1" applyBorder="1" applyAlignment="1" applyProtection="1">
      <alignment horizontal="center" vertical="center" wrapText="1"/>
      <protection locked="0"/>
    </xf>
    <xf numFmtId="0" fontId="37" fillId="34" borderId="19" xfId="0" applyFont="1" applyFill="1" applyBorder="1" applyAlignment="1" applyProtection="1">
      <alignment horizontal="center" vertical="center"/>
      <protection locked="0" hidden="1"/>
    </xf>
    <xf numFmtId="0" fontId="37" fillId="34" borderId="18" xfId="0" applyFont="1" applyFill="1" applyBorder="1" applyAlignment="1" applyProtection="1">
      <alignment horizontal="center" vertical="center"/>
      <protection locked="0" hidden="1"/>
    </xf>
    <xf numFmtId="0" fontId="38" fillId="33" borderId="15" xfId="301" applyFont="1" applyFill="1" applyBorder="1" applyAlignment="1">
      <alignment horizontal="center" vertical="center"/>
    </xf>
    <xf numFmtId="0" fontId="38" fillId="32" borderId="14" xfId="301" applyFont="1" applyFill="1" applyBorder="1" applyAlignment="1">
      <alignment horizontal="center" vertical="center"/>
    </xf>
    <xf numFmtId="0" fontId="38" fillId="32" borderId="15" xfId="301" applyFont="1" applyFill="1" applyBorder="1" applyAlignment="1">
      <alignment horizontal="center" vertical="center"/>
    </xf>
    <xf numFmtId="0" fontId="38" fillId="32" borderId="11" xfId="301" applyFont="1" applyFill="1" applyBorder="1" applyAlignment="1">
      <alignment horizontal="center" vertical="center"/>
    </xf>
    <xf numFmtId="0" fontId="37" fillId="0" borderId="10" xfId="0" applyFont="1" applyBorder="1" applyAlignment="1" applyProtection="1">
      <alignment horizontal="center" vertical="center" wrapText="1"/>
      <protection locked="0"/>
    </xf>
    <xf numFmtId="0" fontId="38" fillId="33" borderId="14" xfId="301" applyFont="1" applyFill="1" applyBorder="1" applyAlignment="1">
      <alignment horizontal="center" vertical="center"/>
    </xf>
    <xf numFmtId="0" fontId="38" fillId="33" borderId="11" xfId="301" applyFont="1" applyFill="1" applyBorder="1" applyAlignment="1">
      <alignment horizontal="center" vertical="center"/>
    </xf>
    <xf numFmtId="0" fontId="2" fillId="0" borderId="10" xfId="6454" applyFont="1" applyBorder="1" applyAlignment="1">
      <alignment horizontal="center" vertical="center" wrapText="1"/>
    </xf>
    <xf numFmtId="0" fontId="0" fillId="0" borderId="0" xfId="0" applyAlignment="1">
      <alignment horizontal="center" vertical="center" wrapText="1"/>
    </xf>
    <xf numFmtId="0" fontId="1" fillId="0" borderId="10" xfId="6454" applyFont="1" applyBorder="1" applyAlignment="1">
      <alignment horizontal="center" vertical="center" wrapText="1"/>
    </xf>
    <xf numFmtId="0" fontId="0" fillId="0" borderId="10" xfId="0" applyBorder="1" applyAlignment="1">
      <alignment horizontal="center"/>
    </xf>
    <xf numFmtId="0" fontId="141" fillId="0" borderId="14" xfId="0" applyFont="1" applyBorder="1" applyAlignment="1">
      <alignment horizontal="center" vertical="center"/>
    </xf>
    <xf numFmtId="0" fontId="141" fillId="0" borderId="15" xfId="0" applyFont="1" applyBorder="1" applyAlignment="1">
      <alignment horizontal="center" vertical="center"/>
    </xf>
    <xf numFmtId="0" fontId="0" fillId="0" borderId="10" xfId="0" applyBorder="1"/>
    <xf numFmtId="0" fontId="141" fillId="0" borderId="11" xfId="0" applyFont="1" applyBorder="1" applyAlignment="1">
      <alignment horizontal="center" vertical="center"/>
    </xf>
    <xf numFmtId="0" fontId="6" fillId="0" borderId="10" xfId="0" applyFont="1" applyBorder="1" applyAlignment="1">
      <alignment horizontal="center"/>
    </xf>
    <xf numFmtId="0" fontId="6" fillId="0" borderId="10" xfId="0" applyFont="1" applyBorder="1"/>
    <xf numFmtId="0" fontId="0" fillId="0" borderId="0" xfId="0" applyAlignment="1">
      <alignment horizontal="center"/>
    </xf>
  </cellXfs>
  <cellStyles count="6501">
    <cellStyle name=" 1" xfId="678" xr:uid="{00000000-0005-0000-0000-000000000000}"/>
    <cellStyle name=" 1 2" xfId="679" xr:uid="{00000000-0005-0000-0000-000001000000}"/>
    <cellStyle name=" 1 2 2" xfId="4768" xr:uid="{00000000-0005-0000-0000-000002000000}"/>
    <cellStyle name=" 1 3" xfId="4769" xr:uid="{00000000-0005-0000-0000-000003000000}"/>
    <cellStyle name=" FY96" xfId="680" xr:uid="{00000000-0005-0000-0000-000004000000}"/>
    <cellStyle name=" FY96 2" xfId="681" xr:uid="{00000000-0005-0000-0000-000005000000}"/>
    <cellStyle name=" FY96 2 2" xfId="4771" xr:uid="{00000000-0005-0000-0000-000006000000}"/>
    <cellStyle name=" FY96 3" xfId="4770" xr:uid="{00000000-0005-0000-0000-000007000000}"/>
    <cellStyle name="_x000a_mouse.drv=lm" xfId="682" xr:uid="{00000000-0005-0000-0000-000008000000}"/>
    <cellStyle name="_x000a_mouse.drv=lm 2" xfId="683" xr:uid="{00000000-0005-0000-0000-000009000000}"/>
    <cellStyle name="&amp;A" xfId="684" xr:uid="{00000000-0005-0000-0000-00000A000000}"/>
    <cellStyle name="&amp;A 2" xfId="685" xr:uid="{00000000-0005-0000-0000-00000B000000}"/>
    <cellStyle name="&amp;A 2 2" xfId="4773" xr:uid="{00000000-0005-0000-0000-00000C000000}"/>
    <cellStyle name="&amp;A 3" xfId="4772" xr:uid="{00000000-0005-0000-0000-00000D000000}"/>
    <cellStyle name="_Line 8 purchasing list-Parker2008.06.12" xfId="686" xr:uid="{00000000-0005-0000-0000-00000E000000}"/>
    <cellStyle name="_Line 8 purchasing list-Parker2008.06.12 2" xfId="687" xr:uid="{00000000-0005-0000-0000-00000F000000}"/>
    <cellStyle name="_Quotation of CERA-lab-1" xfId="688" xr:uid="{00000000-0005-0000-0000-000010000000}"/>
    <cellStyle name="_Quotation of CERA-lab-1 2" xfId="689" xr:uid="{00000000-0005-0000-0000-000011000000}"/>
    <cellStyle name="_SIL plan 20070416" xfId="690" xr:uid="{00000000-0005-0000-0000-000012000000}"/>
    <cellStyle name="_SIL plan 20070416 2" xfId="691" xr:uid="{00000000-0005-0000-0000-000013000000}"/>
    <cellStyle name="_W201 HVAC _ PFD PFMEA CP" xfId="692" xr:uid="{00000000-0005-0000-0000-000014000000}"/>
    <cellStyle name="_W201 HVAC _ PFD PFMEA CP 2" xfId="693" xr:uid="{00000000-0005-0000-0000-000015000000}"/>
    <cellStyle name="_W201 HVAC _ PFD PFMEA CP 2 2" xfId="4775" xr:uid="{00000000-0005-0000-0000-000016000000}"/>
    <cellStyle name="_W201 HVAC _ PFD PFMEA CP 3" xfId="4774" xr:uid="{00000000-0005-0000-0000-000017000000}"/>
    <cellStyle name="_w201 pfd" xfId="694" xr:uid="{00000000-0005-0000-0000-000018000000}"/>
    <cellStyle name="_w201 pfd 2" xfId="695" xr:uid="{00000000-0005-0000-0000-000019000000}"/>
    <cellStyle name="_w201 pfd 2 2" xfId="4777" xr:uid="{00000000-0005-0000-0000-00001A000000}"/>
    <cellStyle name="_w201 pfd 3" xfId="4776" xr:uid="{00000000-0005-0000-0000-00001B000000}"/>
    <cellStyle name="0,0_x000d__x000a_NA_x000d__x000a_" xfId="696" xr:uid="{00000000-0005-0000-0000-00001C000000}"/>
    <cellStyle name="0,0_x000d__x000a_NA_x000d__x000a_ 2" xfId="697" xr:uid="{00000000-0005-0000-0000-00001D000000}"/>
    <cellStyle name="0,0_x000d__x000a_NA_x000d__x000a_ 2 2" xfId="698" xr:uid="{00000000-0005-0000-0000-00001E000000}"/>
    <cellStyle name="0,0_x000d__x000a_NA_x000d__x000a_ 2 2 2" xfId="3947" xr:uid="{00000000-0005-0000-0000-00001F000000}"/>
    <cellStyle name="0,0_x000d__x000a_NA_x000d__x000a_ 2 3" xfId="3946" xr:uid="{00000000-0005-0000-0000-000020000000}"/>
    <cellStyle name="0,0_x000d__x000a_NA_x000d__x000a_ 3" xfId="699" xr:uid="{00000000-0005-0000-0000-000021000000}"/>
    <cellStyle name="0,0_x000d__x000a_NA_x000d__x000a_ 3 2" xfId="3948" xr:uid="{00000000-0005-0000-0000-000022000000}"/>
    <cellStyle name="0,0_x000d__x000a_NA_x000d__x000a_ 4" xfId="700" xr:uid="{00000000-0005-0000-0000-000023000000}"/>
    <cellStyle name="0,0_x000d__x000a_NA_x000d__x000a_ 4 2" xfId="3949" xr:uid="{00000000-0005-0000-0000-000024000000}"/>
    <cellStyle name="0,0_x000d__x000a_NA_x000d__x000a_ 5" xfId="701" xr:uid="{00000000-0005-0000-0000-000025000000}"/>
    <cellStyle name="0,0_x000d__x000a_NA_x000d__x000a_ 5 2" xfId="3950" xr:uid="{00000000-0005-0000-0000-000026000000}"/>
    <cellStyle name="0,0_x000d__x000a_NA_x000d__x000a_ 6" xfId="702" xr:uid="{00000000-0005-0000-0000-000027000000}"/>
    <cellStyle name="0,0_x000d__x000a_NA_x000d__x000a_ 6 2" xfId="3951" xr:uid="{00000000-0005-0000-0000-000028000000}"/>
    <cellStyle name="0,0_x000d__x000a_NA_x000d__x000a_ 7" xfId="3945" xr:uid="{00000000-0005-0000-0000-000029000000}"/>
    <cellStyle name="0,0_x000d__x000a_NA_x000d__x000a_ 8" xfId="4778" xr:uid="{00000000-0005-0000-0000-00002A000000}"/>
    <cellStyle name="20% - Accent1" xfId="1" builtinId="30" customBuiltin="1"/>
    <cellStyle name="20% - Accent1 2" xfId="2" xr:uid="{00000000-0005-0000-0000-00002C000000}"/>
    <cellStyle name="20% - Accent1 2 2" xfId="423" xr:uid="{00000000-0005-0000-0000-00002D000000}"/>
    <cellStyle name="20% - Accent1 2 2 2" xfId="704" xr:uid="{00000000-0005-0000-0000-00002E000000}"/>
    <cellStyle name="20% - Accent1 2 2 3" xfId="705" xr:uid="{00000000-0005-0000-0000-00002F000000}"/>
    <cellStyle name="20% - Accent1 2 2 4" xfId="706" xr:uid="{00000000-0005-0000-0000-000030000000}"/>
    <cellStyle name="20% - Accent1 2 2 5" xfId="703" xr:uid="{00000000-0005-0000-0000-000031000000}"/>
    <cellStyle name="20% - Accent1 2 2 6" xfId="4780" xr:uid="{00000000-0005-0000-0000-000032000000}"/>
    <cellStyle name="20% - Accent1 2 3" xfId="4781" xr:uid="{00000000-0005-0000-0000-000033000000}"/>
    <cellStyle name="20% - Accent1 3" xfId="3" xr:uid="{00000000-0005-0000-0000-000034000000}"/>
    <cellStyle name="20% - Accent1 3 2" xfId="707" xr:uid="{00000000-0005-0000-0000-000035000000}"/>
    <cellStyle name="20% - Accent1 3 2 2" xfId="4782" xr:uid="{00000000-0005-0000-0000-000036000000}"/>
    <cellStyle name="20% - Accent1 3 3" xfId="4783" xr:uid="{00000000-0005-0000-0000-000037000000}"/>
    <cellStyle name="20% - Accent1 4" xfId="424" xr:uid="{00000000-0005-0000-0000-000038000000}"/>
    <cellStyle name="20% - Accent1 4 2" xfId="709" xr:uid="{00000000-0005-0000-0000-000039000000}"/>
    <cellStyle name="20% - Accent1 4 2 2" xfId="710" xr:uid="{00000000-0005-0000-0000-00003A000000}"/>
    <cellStyle name="20% - Accent1 4 2 2 2" xfId="711" xr:uid="{00000000-0005-0000-0000-00003B000000}"/>
    <cellStyle name="20% - Accent1 4 2 3" xfId="712" xr:uid="{00000000-0005-0000-0000-00003C000000}"/>
    <cellStyle name="20% - Accent1 4 2 4" xfId="4784" xr:uid="{00000000-0005-0000-0000-00003D000000}"/>
    <cellStyle name="20% - Accent1 4 3" xfId="713" xr:uid="{00000000-0005-0000-0000-00003E000000}"/>
    <cellStyle name="20% - Accent1 4 3 2" xfId="3953" xr:uid="{00000000-0005-0000-0000-00003F000000}"/>
    <cellStyle name="20% - Accent1 4 3 3" xfId="4785" xr:uid="{00000000-0005-0000-0000-000040000000}"/>
    <cellStyle name="20% - Accent1 4 4" xfId="708" xr:uid="{00000000-0005-0000-0000-000041000000}"/>
    <cellStyle name="20% - Accent1 4 4 2" xfId="3952" xr:uid="{00000000-0005-0000-0000-000042000000}"/>
    <cellStyle name="20% - Accent1 4 5" xfId="3903" xr:uid="{00000000-0005-0000-0000-000043000000}"/>
    <cellStyle name="20% - Accent1 4 6" xfId="6482" xr:uid="{00000000-0005-0000-0000-000044000000}"/>
    <cellStyle name="20% - Accent1 5" xfId="425" xr:uid="{00000000-0005-0000-0000-000045000000}"/>
    <cellStyle name="20% - Accent1 5 2" xfId="714" xr:uid="{00000000-0005-0000-0000-000046000000}"/>
    <cellStyle name="20% - Accent1 5 2 2" xfId="4787" xr:uid="{00000000-0005-0000-0000-000047000000}"/>
    <cellStyle name="20% - Accent1 5 3" xfId="4786" xr:uid="{00000000-0005-0000-0000-000048000000}"/>
    <cellStyle name="20% - Accent1 6" xfId="422" xr:uid="{00000000-0005-0000-0000-000049000000}"/>
    <cellStyle name="20% - Accent1 6 2" xfId="4788" xr:uid="{00000000-0005-0000-0000-00004A000000}"/>
    <cellStyle name="20% - Accent1 7" xfId="4779" xr:uid="{00000000-0005-0000-0000-00004B000000}"/>
    <cellStyle name="20% - Accent2" xfId="4" builtinId="34" customBuiltin="1"/>
    <cellStyle name="20% - Accent2 2" xfId="5" xr:uid="{00000000-0005-0000-0000-00004D000000}"/>
    <cellStyle name="20% - Accent2 2 2" xfId="427" xr:uid="{00000000-0005-0000-0000-00004E000000}"/>
    <cellStyle name="20% - Accent2 2 2 2" xfId="716" xr:uid="{00000000-0005-0000-0000-00004F000000}"/>
    <cellStyle name="20% - Accent2 2 2 3" xfId="717" xr:uid="{00000000-0005-0000-0000-000050000000}"/>
    <cellStyle name="20% - Accent2 2 2 4" xfId="718" xr:uid="{00000000-0005-0000-0000-000051000000}"/>
    <cellStyle name="20% - Accent2 2 2 5" xfId="715" xr:uid="{00000000-0005-0000-0000-000052000000}"/>
    <cellStyle name="20% - Accent2 2 2 6" xfId="4790" xr:uid="{00000000-0005-0000-0000-000053000000}"/>
    <cellStyle name="20% - Accent2 2 3" xfId="4791" xr:uid="{00000000-0005-0000-0000-000054000000}"/>
    <cellStyle name="20% - Accent2 3" xfId="6" xr:uid="{00000000-0005-0000-0000-000055000000}"/>
    <cellStyle name="20% - Accent2 3 2" xfId="719" xr:uid="{00000000-0005-0000-0000-000056000000}"/>
    <cellStyle name="20% - Accent2 3 2 2" xfId="4792" xr:uid="{00000000-0005-0000-0000-000057000000}"/>
    <cellStyle name="20% - Accent2 3 3" xfId="4793" xr:uid="{00000000-0005-0000-0000-000058000000}"/>
    <cellStyle name="20% - Accent2 4" xfId="428" xr:uid="{00000000-0005-0000-0000-000059000000}"/>
    <cellStyle name="20% - Accent2 4 2" xfId="721" xr:uid="{00000000-0005-0000-0000-00005A000000}"/>
    <cellStyle name="20% - Accent2 4 2 2" xfId="722" xr:uid="{00000000-0005-0000-0000-00005B000000}"/>
    <cellStyle name="20% - Accent2 4 2 2 2" xfId="723" xr:uid="{00000000-0005-0000-0000-00005C000000}"/>
    <cellStyle name="20% - Accent2 4 2 3" xfId="724" xr:uid="{00000000-0005-0000-0000-00005D000000}"/>
    <cellStyle name="20% - Accent2 4 2 4" xfId="4794" xr:uid="{00000000-0005-0000-0000-00005E000000}"/>
    <cellStyle name="20% - Accent2 4 3" xfId="725" xr:uid="{00000000-0005-0000-0000-00005F000000}"/>
    <cellStyle name="20% - Accent2 4 3 2" xfId="3955" xr:uid="{00000000-0005-0000-0000-000060000000}"/>
    <cellStyle name="20% - Accent2 4 3 3" xfId="4795" xr:uid="{00000000-0005-0000-0000-000061000000}"/>
    <cellStyle name="20% - Accent2 4 4" xfId="720" xr:uid="{00000000-0005-0000-0000-000062000000}"/>
    <cellStyle name="20% - Accent2 4 4 2" xfId="3954" xr:uid="{00000000-0005-0000-0000-000063000000}"/>
    <cellStyle name="20% - Accent2 4 5" xfId="3904" xr:uid="{00000000-0005-0000-0000-000064000000}"/>
    <cellStyle name="20% - Accent2 4 6" xfId="6439" xr:uid="{00000000-0005-0000-0000-000065000000}"/>
    <cellStyle name="20% - Accent2 5" xfId="429" xr:uid="{00000000-0005-0000-0000-000066000000}"/>
    <cellStyle name="20% - Accent2 5 2" xfId="726" xr:uid="{00000000-0005-0000-0000-000067000000}"/>
    <cellStyle name="20% - Accent2 5 2 2" xfId="4797" xr:uid="{00000000-0005-0000-0000-000068000000}"/>
    <cellStyle name="20% - Accent2 5 3" xfId="4796" xr:uid="{00000000-0005-0000-0000-000069000000}"/>
    <cellStyle name="20% - Accent2 6" xfId="426" xr:uid="{00000000-0005-0000-0000-00006A000000}"/>
    <cellStyle name="20% - Accent2 6 2" xfId="4798" xr:uid="{00000000-0005-0000-0000-00006B000000}"/>
    <cellStyle name="20% - Accent2 7" xfId="4789" xr:uid="{00000000-0005-0000-0000-00006C000000}"/>
    <cellStyle name="20% - Accent3" xfId="7" builtinId="38" customBuiltin="1"/>
    <cellStyle name="20% - Accent3 2" xfId="8" xr:uid="{00000000-0005-0000-0000-00006E000000}"/>
    <cellStyle name="20% - Accent3 2 2" xfId="431" xr:uid="{00000000-0005-0000-0000-00006F000000}"/>
    <cellStyle name="20% - Accent3 2 2 2" xfId="728" xr:uid="{00000000-0005-0000-0000-000070000000}"/>
    <cellStyle name="20% - Accent3 2 2 3" xfId="729" xr:uid="{00000000-0005-0000-0000-000071000000}"/>
    <cellStyle name="20% - Accent3 2 2 4" xfId="730" xr:uid="{00000000-0005-0000-0000-000072000000}"/>
    <cellStyle name="20% - Accent3 2 2 5" xfId="727" xr:uid="{00000000-0005-0000-0000-000073000000}"/>
    <cellStyle name="20% - Accent3 2 2 6" xfId="4800" xr:uid="{00000000-0005-0000-0000-000074000000}"/>
    <cellStyle name="20% - Accent3 2 3" xfId="4801" xr:uid="{00000000-0005-0000-0000-000075000000}"/>
    <cellStyle name="20% - Accent3 3" xfId="9" xr:uid="{00000000-0005-0000-0000-000076000000}"/>
    <cellStyle name="20% - Accent3 3 2" xfId="731" xr:uid="{00000000-0005-0000-0000-000077000000}"/>
    <cellStyle name="20% - Accent3 3 2 2" xfId="4802" xr:uid="{00000000-0005-0000-0000-000078000000}"/>
    <cellStyle name="20% - Accent3 3 3" xfId="4803" xr:uid="{00000000-0005-0000-0000-000079000000}"/>
    <cellStyle name="20% - Accent3 4" xfId="432" xr:uid="{00000000-0005-0000-0000-00007A000000}"/>
    <cellStyle name="20% - Accent3 4 2" xfId="733" xr:uid="{00000000-0005-0000-0000-00007B000000}"/>
    <cellStyle name="20% - Accent3 4 2 2" xfId="734" xr:uid="{00000000-0005-0000-0000-00007C000000}"/>
    <cellStyle name="20% - Accent3 4 2 2 2" xfId="735" xr:uid="{00000000-0005-0000-0000-00007D000000}"/>
    <cellStyle name="20% - Accent3 4 2 3" xfId="736" xr:uid="{00000000-0005-0000-0000-00007E000000}"/>
    <cellStyle name="20% - Accent3 4 2 4" xfId="4804" xr:uid="{00000000-0005-0000-0000-00007F000000}"/>
    <cellStyle name="20% - Accent3 4 3" xfId="737" xr:uid="{00000000-0005-0000-0000-000080000000}"/>
    <cellStyle name="20% - Accent3 4 3 2" xfId="3957" xr:uid="{00000000-0005-0000-0000-000081000000}"/>
    <cellStyle name="20% - Accent3 4 3 3" xfId="4805" xr:uid="{00000000-0005-0000-0000-000082000000}"/>
    <cellStyle name="20% - Accent3 4 4" xfId="732" xr:uid="{00000000-0005-0000-0000-000083000000}"/>
    <cellStyle name="20% - Accent3 4 4 2" xfId="3956" xr:uid="{00000000-0005-0000-0000-000084000000}"/>
    <cellStyle name="20% - Accent3 4 5" xfId="3905" xr:uid="{00000000-0005-0000-0000-000085000000}"/>
    <cellStyle name="20% - Accent3 4 6" xfId="6491" xr:uid="{00000000-0005-0000-0000-000086000000}"/>
    <cellStyle name="20% - Accent3 5" xfId="433" xr:uid="{00000000-0005-0000-0000-000087000000}"/>
    <cellStyle name="20% - Accent3 5 2" xfId="738" xr:uid="{00000000-0005-0000-0000-000088000000}"/>
    <cellStyle name="20% - Accent3 5 2 2" xfId="4807" xr:uid="{00000000-0005-0000-0000-000089000000}"/>
    <cellStyle name="20% - Accent3 5 3" xfId="4806" xr:uid="{00000000-0005-0000-0000-00008A000000}"/>
    <cellStyle name="20% - Accent3 6" xfId="430" xr:uid="{00000000-0005-0000-0000-00008B000000}"/>
    <cellStyle name="20% - Accent3 6 2" xfId="4808" xr:uid="{00000000-0005-0000-0000-00008C000000}"/>
    <cellStyle name="20% - Accent3 7" xfId="4799" xr:uid="{00000000-0005-0000-0000-00008D000000}"/>
    <cellStyle name="20% - Accent4" xfId="10" builtinId="42" customBuiltin="1"/>
    <cellStyle name="20% - Accent4 2" xfId="11" xr:uid="{00000000-0005-0000-0000-00008F000000}"/>
    <cellStyle name="20% - Accent4 2 2" xfId="435" xr:uid="{00000000-0005-0000-0000-000090000000}"/>
    <cellStyle name="20% - Accent4 2 2 2" xfId="740" xr:uid="{00000000-0005-0000-0000-000091000000}"/>
    <cellStyle name="20% - Accent4 2 2 3" xfId="741" xr:uid="{00000000-0005-0000-0000-000092000000}"/>
    <cellStyle name="20% - Accent4 2 2 4" xfId="742" xr:uid="{00000000-0005-0000-0000-000093000000}"/>
    <cellStyle name="20% - Accent4 2 2 5" xfId="739" xr:uid="{00000000-0005-0000-0000-000094000000}"/>
    <cellStyle name="20% - Accent4 2 2 6" xfId="4810" xr:uid="{00000000-0005-0000-0000-000095000000}"/>
    <cellStyle name="20% - Accent4 2 3" xfId="4811" xr:uid="{00000000-0005-0000-0000-000096000000}"/>
    <cellStyle name="20% - Accent4 3" xfId="12" xr:uid="{00000000-0005-0000-0000-000097000000}"/>
    <cellStyle name="20% - Accent4 3 2" xfId="743" xr:uid="{00000000-0005-0000-0000-000098000000}"/>
    <cellStyle name="20% - Accent4 3 2 2" xfId="4812" xr:uid="{00000000-0005-0000-0000-000099000000}"/>
    <cellStyle name="20% - Accent4 3 3" xfId="4813" xr:uid="{00000000-0005-0000-0000-00009A000000}"/>
    <cellStyle name="20% - Accent4 4" xfId="436" xr:uid="{00000000-0005-0000-0000-00009B000000}"/>
    <cellStyle name="20% - Accent4 4 2" xfId="745" xr:uid="{00000000-0005-0000-0000-00009C000000}"/>
    <cellStyle name="20% - Accent4 4 2 2" xfId="746" xr:uid="{00000000-0005-0000-0000-00009D000000}"/>
    <cellStyle name="20% - Accent4 4 2 2 2" xfId="747" xr:uid="{00000000-0005-0000-0000-00009E000000}"/>
    <cellStyle name="20% - Accent4 4 2 3" xfId="748" xr:uid="{00000000-0005-0000-0000-00009F000000}"/>
    <cellStyle name="20% - Accent4 4 2 4" xfId="4814" xr:uid="{00000000-0005-0000-0000-0000A0000000}"/>
    <cellStyle name="20% - Accent4 4 3" xfId="749" xr:uid="{00000000-0005-0000-0000-0000A1000000}"/>
    <cellStyle name="20% - Accent4 4 3 2" xfId="3959" xr:uid="{00000000-0005-0000-0000-0000A2000000}"/>
    <cellStyle name="20% - Accent4 4 3 3" xfId="4815" xr:uid="{00000000-0005-0000-0000-0000A3000000}"/>
    <cellStyle name="20% - Accent4 4 4" xfId="744" xr:uid="{00000000-0005-0000-0000-0000A4000000}"/>
    <cellStyle name="20% - Accent4 4 4 2" xfId="3958" xr:uid="{00000000-0005-0000-0000-0000A5000000}"/>
    <cellStyle name="20% - Accent4 4 5" xfId="3906" xr:uid="{00000000-0005-0000-0000-0000A6000000}"/>
    <cellStyle name="20% - Accent4 4 6" xfId="6460" xr:uid="{00000000-0005-0000-0000-0000A7000000}"/>
    <cellStyle name="20% - Accent4 5" xfId="437" xr:uid="{00000000-0005-0000-0000-0000A8000000}"/>
    <cellStyle name="20% - Accent4 5 2" xfId="750" xr:uid="{00000000-0005-0000-0000-0000A9000000}"/>
    <cellStyle name="20% - Accent4 5 2 2" xfId="4817" xr:uid="{00000000-0005-0000-0000-0000AA000000}"/>
    <cellStyle name="20% - Accent4 5 3" xfId="4816" xr:uid="{00000000-0005-0000-0000-0000AB000000}"/>
    <cellStyle name="20% - Accent4 6" xfId="434" xr:uid="{00000000-0005-0000-0000-0000AC000000}"/>
    <cellStyle name="20% - Accent4 6 2" xfId="4818" xr:uid="{00000000-0005-0000-0000-0000AD000000}"/>
    <cellStyle name="20% - Accent4 7" xfId="4809" xr:uid="{00000000-0005-0000-0000-0000AE000000}"/>
    <cellStyle name="20% - Accent5" xfId="13" builtinId="46" customBuiltin="1"/>
    <cellStyle name="20% - Accent5 2" xfId="14" xr:uid="{00000000-0005-0000-0000-0000B0000000}"/>
    <cellStyle name="20% - Accent5 2 2" xfId="439" xr:uid="{00000000-0005-0000-0000-0000B1000000}"/>
    <cellStyle name="20% - Accent5 2 2 2" xfId="752" xr:uid="{00000000-0005-0000-0000-0000B2000000}"/>
    <cellStyle name="20% - Accent5 2 2 3" xfId="753" xr:uid="{00000000-0005-0000-0000-0000B3000000}"/>
    <cellStyle name="20% - Accent5 2 2 4" xfId="754" xr:uid="{00000000-0005-0000-0000-0000B4000000}"/>
    <cellStyle name="20% - Accent5 2 2 5" xfId="751" xr:uid="{00000000-0005-0000-0000-0000B5000000}"/>
    <cellStyle name="20% - Accent5 2 2 6" xfId="4820" xr:uid="{00000000-0005-0000-0000-0000B6000000}"/>
    <cellStyle name="20% - Accent5 2 3" xfId="4821" xr:uid="{00000000-0005-0000-0000-0000B7000000}"/>
    <cellStyle name="20% - Accent5 3" xfId="15" xr:uid="{00000000-0005-0000-0000-0000B8000000}"/>
    <cellStyle name="20% - Accent5 3 2" xfId="755" xr:uid="{00000000-0005-0000-0000-0000B9000000}"/>
    <cellStyle name="20% - Accent5 3 2 2" xfId="4822" xr:uid="{00000000-0005-0000-0000-0000BA000000}"/>
    <cellStyle name="20% - Accent5 3 3" xfId="4823" xr:uid="{00000000-0005-0000-0000-0000BB000000}"/>
    <cellStyle name="20% - Accent5 4" xfId="440" xr:uid="{00000000-0005-0000-0000-0000BC000000}"/>
    <cellStyle name="20% - Accent5 4 2" xfId="757" xr:uid="{00000000-0005-0000-0000-0000BD000000}"/>
    <cellStyle name="20% - Accent5 4 2 2" xfId="758" xr:uid="{00000000-0005-0000-0000-0000BE000000}"/>
    <cellStyle name="20% - Accent5 4 2 2 2" xfId="759" xr:uid="{00000000-0005-0000-0000-0000BF000000}"/>
    <cellStyle name="20% - Accent5 4 2 3" xfId="760" xr:uid="{00000000-0005-0000-0000-0000C0000000}"/>
    <cellStyle name="20% - Accent5 4 2 4" xfId="4824" xr:uid="{00000000-0005-0000-0000-0000C1000000}"/>
    <cellStyle name="20% - Accent5 4 3" xfId="761" xr:uid="{00000000-0005-0000-0000-0000C2000000}"/>
    <cellStyle name="20% - Accent5 4 3 2" xfId="3961" xr:uid="{00000000-0005-0000-0000-0000C3000000}"/>
    <cellStyle name="20% - Accent5 4 3 3" xfId="4825" xr:uid="{00000000-0005-0000-0000-0000C4000000}"/>
    <cellStyle name="20% - Accent5 4 4" xfId="756" xr:uid="{00000000-0005-0000-0000-0000C5000000}"/>
    <cellStyle name="20% - Accent5 4 4 2" xfId="3960" xr:uid="{00000000-0005-0000-0000-0000C6000000}"/>
    <cellStyle name="20% - Accent5 4 5" xfId="3907" xr:uid="{00000000-0005-0000-0000-0000C7000000}"/>
    <cellStyle name="20% - Accent5 4 6" xfId="6449" xr:uid="{00000000-0005-0000-0000-0000C8000000}"/>
    <cellStyle name="20% - Accent5 5" xfId="441" xr:uid="{00000000-0005-0000-0000-0000C9000000}"/>
    <cellStyle name="20% - Accent5 5 2" xfId="762" xr:uid="{00000000-0005-0000-0000-0000CA000000}"/>
    <cellStyle name="20% - Accent5 5 2 2" xfId="4827" xr:uid="{00000000-0005-0000-0000-0000CB000000}"/>
    <cellStyle name="20% - Accent5 5 3" xfId="4826" xr:uid="{00000000-0005-0000-0000-0000CC000000}"/>
    <cellStyle name="20% - Accent5 6" xfId="438" xr:uid="{00000000-0005-0000-0000-0000CD000000}"/>
    <cellStyle name="20% - Accent5 6 2" xfId="4828" xr:uid="{00000000-0005-0000-0000-0000CE000000}"/>
    <cellStyle name="20% - Accent5 7" xfId="4819" xr:uid="{00000000-0005-0000-0000-0000CF000000}"/>
    <cellStyle name="20% - Accent6" xfId="16" builtinId="50" customBuiltin="1"/>
    <cellStyle name="20% - Accent6 2" xfId="17" xr:uid="{00000000-0005-0000-0000-0000D1000000}"/>
    <cellStyle name="20% - Accent6 2 2" xfId="443" xr:uid="{00000000-0005-0000-0000-0000D2000000}"/>
    <cellStyle name="20% - Accent6 2 2 2" xfId="764" xr:uid="{00000000-0005-0000-0000-0000D3000000}"/>
    <cellStyle name="20% - Accent6 2 2 3" xfId="765" xr:uid="{00000000-0005-0000-0000-0000D4000000}"/>
    <cellStyle name="20% - Accent6 2 2 4" xfId="766" xr:uid="{00000000-0005-0000-0000-0000D5000000}"/>
    <cellStyle name="20% - Accent6 2 2 5" xfId="763" xr:uid="{00000000-0005-0000-0000-0000D6000000}"/>
    <cellStyle name="20% - Accent6 2 2 6" xfId="4830" xr:uid="{00000000-0005-0000-0000-0000D7000000}"/>
    <cellStyle name="20% - Accent6 2 3" xfId="4831" xr:uid="{00000000-0005-0000-0000-0000D8000000}"/>
    <cellStyle name="20% - Accent6 3" xfId="18" xr:uid="{00000000-0005-0000-0000-0000D9000000}"/>
    <cellStyle name="20% - Accent6 3 2" xfId="767" xr:uid="{00000000-0005-0000-0000-0000DA000000}"/>
    <cellStyle name="20% - Accent6 3 2 2" xfId="4832" xr:uid="{00000000-0005-0000-0000-0000DB000000}"/>
    <cellStyle name="20% - Accent6 3 3" xfId="4833" xr:uid="{00000000-0005-0000-0000-0000DC000000}"/>
    <cellStyle name="20% - Accent6 4" xfId="444" xr:uid="{00000000-0005-0000-0000-0000DD000000}"/>
    <cellStyle name="20% - Accent6 4 2" xfId="769" xr:uid="{00000000-0005-0000-0000-0000DE000000}"/>
    <cellStyle name="20% - Accent6 4 2 2" xfId="770" xr:uid="{00000000-0005-0000-0000-0000DF000000}"/>
    <cellStyle name="20% - Accent6 4 2 2 2" xfId="771" xr:uid="{00000000-0005-0000-0000-0000E0000000}"/>
    <cellStyle name="20% - Accent6 4 2 3" xfId="772" xr:uid="{00000000-0005-0000-0000-0000E1000000}"/>
    <cellStyle name="20% - Accent6 4 2 4" xfId="4834" xr:uid="{00000000-0005-0000-0000-0000E2000000}"/>
    <cellStyle name="20% - Accent6 4 3" xfId="773" xr:uid="{00000000-0005-0000-0000-0000E3000000}"/>
    <cellStyle name="20% - Accent6 4 3 2" xfId="3963" xr:uid="{00000000-0005-0000-0000-0000E4000000}"/>
    <cellStyle name="20% - Accent6 4 3 3" xfId="4835" xr:uid="{00000000-0005-0000-0000-0000E5000000}"/>
    <cellStyle name="20% - Accent6 4 4" xfId="768" xr:uid="{00000000-0005-0000-0000-0000E6000000}"/>
    <cellStyle name="20% - Accent6 4 4 2" xfId="3962" xr:uid="{00000000-0005-0000-0000-0000E7000000}"/>
    <cellStyle name="20% - Accent6 4 5" xfId="3908" xr:uid="{00000000-0005-0000-0000-0000E8000000}"/>
    <cellStyle name="20% - Accent6 4 6" xfId="6481" xr:uid="{00000000-0005-0000-0000-0000E9000000}"/>
    <cellStyle name="20% - Accent6 5" xfId="445" xr:uid="{00000000-0005-0000-0000-0000EA000000}"/>
    <cellStyle name="20% - Accent6 5 2" xfId="774" xr:uid="{00000000-0005-0000-0000-0000EB000000}"/>
    <cellStyle name="20% - Accent6 5 2 2" xfId="4837" xr:uid="{00000000-0005-0000-0000-0000EC000000}"/>
    <cellStyle name="20% - Accent6 5 3" xfId="4836" xr:uid="{00000000-0005-0000-0000-0000ED000000}"/>
    <cellStyle name="20% - Accent6 6" xfId="442" xr:uid="{00000000-0005-0000-0000-0000EE000000}"/>
    <cellStyle name="20% - Accent6 6 2" xfId="4838" xr:uid="{00000000-0005-0000-0000-0000EF000000}"/>
    <cellStyle name="20% - Accent6 7" xfId="4829" xr:uid="{00000000-0005-0000-0000-0000F0000000}"/>
    <cellStyle name="20% - 강조색1" xfId="775" xr:uid="{00000000-0005-0000-0000-0000F1000000}"/>
    <cellStyle name="20% - 강조색1 2" xfId="776" xr:uid="{00000000-0005-0000-0000-0000F2000000}"/>
    <cellStyle name="20% - 강조색1 2 2" xfId="4840" xr:uid="{00000000-0005-0000-0000-0000F3000000}"/>
    <cellStyle name="20% - 강조색1 3" xfId="4839" xr:uid="{00000000-0005-0000-0000-0000F4000000}"/>
    <cellStyle name="20% - 강조색2" xfId="777" xr:uid="{00000000-0005-0000-0000-0000F5000000}"/>
    <cellStyle name="20% - 강조색2 2" xfId="778" xr:uid="{00000000-0005-0000-0000-0000F6000000}"/>
    <cellStyle name="20% - 강조색2 2 2" xfId="4842" xr:uid="{00000000-0005-0000-0000-0000F7000000}"/>
    <cellStyle name="20% - 강조색2 3" xfId="4841" xr:uid="{00000000-0005-0000-0000-0000F8000000}"/>
    <cellStyle name="20% - 강조색3" xfId="779" xr:uid="{00000000-0005-0000-0000-0000F9000000}"/>
    <cellStyle name="20% - 강조색3 2" xfId="780" xr:uid="{00000000-0005-0000-0000-0000FA000000}"/>
    <cellStyle name="20% - 강조색3 2 2" xfId="4844" xr:uid="{00000000-0005-0000-0000-0000FB000000}"/>
    <cellStyle name="20% - 강조색3 3" xfId="4843" xr:uid="{00000000-0005-0000-0000-0000FC000000}"/>
    <cellStyle name="20% - 강조색4" xfId="781" xr:uid="{00000000-0005-0000-0000-0000FD000000}"/>
    <cellStyle name="20% - 강조색4 2" xfId="782" xr:uid="{00000000-0005-0000-0000-0000FE000000}"/>
    <cellStyle name="20% - 강조색4 2 2" xfId="4846" xr:uid="{00000000-0005-0000-0000-0000FF000000}"/>
    <cellStyle name="20% - 강조색4 3" xfId="4845" xr:uid="{00000000-0005-0000-0000-000000010000}"/>
    <cellStyle name="20% - 강조색5" xfId="783" xr:uid="{00000000-0005-0000-0000-000001010000}"/>
    <cellStyle name="20% - 강조색5 2" xfId="784" xr:uid="{00000000-0005-0000-0000-000002010000}"/>
    <cellStyle name="20% - 강조색5 2 2" xfId="4848" xr:uid="{00000000-0005-0000-0000-000003010000}"/>
    <cellStyle name="20% - 강조색5 3" xfId="4847" xr:uid="{00000000-0005-0000-0000-000004010000}"/>
    <cellStyle name="20% - 강조색6" xfId="785" xr:uid="{00000000-0005-0000-0000-000005010000}"/>
    <cellStyle name="20% - 강조색6 2" xfId="786" xr:uid="{00000000-0005-0000-0000-000006010000}"/>
    <cellStyle name="20% - 강조색6 2 2" xfId="4850" xr:uid="{00000000-0005-0000-0000-000007010000}"/>
    <cellStyle name="20% - 강조색6 3" xfId="4849" xr:uid="{00000000-0005-0000-0000-000008010000}"/>
    <cellStyle name="20% - 强调文字颜色 1" xfId="787" xr:uid="{00000000-0005-0000-0000-000009010000}"/>
    <cellStyle name="20% - 强调文字颜色 1 2" xfId="788" xr:uid="{00000000-0005-0000-0000-00000A010000}"/>
    <cellStyle name="20% - 强调文字颜色 1 2 2" xfId="4852" xr:uid="{00000000-0005-0000-0000-00000B010000}"/>
    <cellStyle name="20% - 强调文字颜色 1 3" xfId="4851" xr:uid="{00000000-0005-0000-0000-00000C010000}"/>
    <cellStyle name="20% - 强调文字颜色 2" xfId="789" xr:uid="{00000000-0005-0000-0000-00000D010000}"/>
    <cellStyle name="20% - 强调文字颜色 2 2" xfId="790" xr:uid="{00000000-0005-0000-0000-00000E010000}"/>
    <cellStyle name="20% - 强调文字颜色 2 2 2" xfId="4854" xr:uid="{00000000-0005-0000-0000-00000F010000}"/>
    <cellStyle name="20% - 强调文字颜色 2 3" xfId="4853" xr:uid="{00000000-0005-0000-0000-000010010000}"/>
    <cellStyle name="20% - 强调文字颜色 3" xfId="791" xr:uid="{00000000-0005-0000-0000-000011010000}"/>
    <cellStyle name="20% - 强调文字颜色 3 2" xfId="792" xr:uid="{00000000-0005-0000-0000-000012010000}"/>
    <cellStyle name="20% - 强调文字颜色 3 2 2" xfId="4856" xr:uid="{00000000-0005-0000-0000-000013010000}"/>
    <cellStyle name="20% - 强调文字颜色 3 3" xfId="4855" xr:uid="{00000000-0005-0000-0000-000014010000}"/>
    <cellStyle name="20% - 强调文字颜色 4" xfId="793" xr:uid="{00000000-0005-0000-0000-000015010000}"/>
    <cellStyle name="20% - 强调文字颜色 4 2" xfId="794" xr:uid="{00000000-0005-0000-0000-000016010000}"/>
    <cellStyle name="20% - 强调文字颜色 4 2 2" xfId="4858" xr:uid="{00000000-0005-0000-0000-000017010000}"/>
    <cellStyle name="20% - 强调文字颜色 4 3" xfId="4857" xr:uid="{00000000-0005-0000-0000-000018010000}"/>
    <cellStyle name="20% - 强调文字颜色 5" xfId="795" xr:uid="{00000000-0005-0000-0000-000019010000}"/>
    <cellStyle name="20% - 强调文字颜色 5 2" xfId="796" xr:uid="{00000000-0005-0000-0000-00001A010000}"/>
    <cellStyle name="20% - 强调文字颜色 5 2 2" xfId="4860" xr:uid="{00000000-0005-0000-0000-00001B010000}"/>
    <cellStyle name="20% - 强调文字颜色 5 3" xfId="4859" xr:uid="{00000000-0005-0000-0000-00001C010000}"/>
    <cellStyle name="20% - 强调文字颜色 6" xfId="797" xr:uid="{00000000-0005-0000-0000-00001D010000}"/>
    <cellStyle name="20% - 强调文字颜色 6 2" xfId="798" xr:uid="{00000000-0005-0000-0000-00001E010000}"/>
    <cellStyle name="20% - 强调文字颜色 6 2 2" xfId="4862" xr:uid="{00000000-0005-0000-0000-00001F010000}"/>
    <cellStyle name="20% - 强调文字颜色 6 3" xfId="4861" xr:uid="{00000000-0005-0000-0000-000020010000}"/>
    <cellStyle name="40% - Accent1" xfId="19" builtinId="31" customBuiltin="1"/>
    <cellStyle name="40% - Accent1 2" xfId="20" xr:uid="{00000000-0005-0000-0000-000022010000}"/>
    <cellStyle name="40% - Accent1 2 2" xfId="447" xr:uid="{00000000-0005-0000-0000-000023010000}"/>
    <cellStyle name="40% - Accent1 2 2 2" xfId="800" xr:uid="{00000000-0005-0000-0000-000024010000}"/>
    <cellStyle name="40% - Accent1 2 2 3" xfId="801" xr:uid="{00000000-0005-0000-0000-000025010000}"/>
    <cellStyle name="40% - Accent1 2 2 4" xfId="802" xr:uid="{00000000-0005-0000-0000-000026010000}"/>
    <cellStyle name="40% - Accent1 2 2 5" xfId="799" xr:uid="{00000000-0005-0000-0000-000027010000}"/>
    <cellStyle name="40% - Accent1 2 2 6" xfId="4864" xr:uid="{00000000-0005-0000-0000-000028010000}"/>
    <cellStyle name="40% - Accent1 2 3" xfId="4865" xr:uid="{00000000-0005-0000-0000-000029010000}"/>
    <cellStyle name="40% - Accent1 3" xfId="21" xr:uid="{00000000-0005-0000-0000-00002A010000}"/>
    <cellStyle name="40% - Accent1 3 2" xfId="803" xr:uid="{00000000-0005-0000-0000-00002B010000}"/>
    <cellStyle name="40% - Accent1 3 2 2" xfId="4866" xr:uid="{00000000-0005-0000-0000-00002C010000}"/>
    <cellStyle name="40% - Accent1 3 3" xfId="4867" xr:uid="{00000000-0005-0000-0000-00002D010000}"/>
    <cellStyle name="40% - Accent1 4" xfId="448" xr:uid="{00000000-0005-0000-0000-00002E010000}"/>
    <cellStyle name="40% - Accent1 4 2" xfId="805" xr:uid="{00000000-0005-0000-0000-00002F010000}"/>
    <cellStyle name="40% - Accent1 4 2 2" xfId="806" xr:uid="{00000000-0005-0000-0000-000030010000}"/>
    <cellStyle name="40% - Accent1 4 2 2 2" xfId="807" xr:uid="{00000000-0005-0000-0000-000031010000}"/>
    <cellStyle name="40% - Accent1 4 2 3" xfId="808" xr:uid="{00000000-0005-0000-0000-000032010000}"/>
    <cellStyle name="40% - Accent1 4 2 4" xfId="4868" xr:uid="{00000000-0005-0000-0000-000033010000}"/>
    <cellStyle name="40% - Accent1 4 3" xfId="809" xr:uid="{00000000-0005-0000-0000-000034010000}"/>
    <cellStyle name="40% - Accent1 4 3 2" xfId="3965" xr:uid="{00000000-0005-0000-0000-000035010000}"/>
    <cellStyle name="40% - Accent1 4 3 3" xfId="4869" xr:uid="{00000000-0005-0000-0000-000036010000}"/>
    <cellStyle name="40% - Accent1 4 4" xfId="804" xr:uid="{00000000-0005-0000-0000-000037010000}"/>
    <cellStyle name="40% - Accent1 4 4 2" xfId="3964" xr:uid="{00000000-0005-0000-0000-000038010000}"/>
    <cellStyle name="40% - Accent1 4 5" xfId="3909" xr:uid="{00000000-0005-0000-0000-000039010000}"/>
    <cellStyle name="40% - Accent1 4 6" xfId="6442" xr:uid="{00000000-0005-0000-0000-00003A010000}"/>
    <cellStyle name="40% - Accent1 5" xfId="449" xr:uid="{00000000-0005-0000-0000-00003B010000}"/>
    <cellStyle name="40% - Accent1 5 2" xfId="810" xr:uid="{00000000-0005-0000-0000-00003C010000}"/>
    <cellStyle name="40% - Accent1 5 2 2" xfId="4871" xr:uid="{00000000-0005-0000-0000-00003D010000}"/>
    <cellStyle name="40% - Accent1 5 3" xfId="4870" xr:uid="{00000000-0005-0000-0000-00003E010000}"/>
    <cellStyle name="40% - Accent1 6" xfId="446" xr:uid="{00000000-0005-0000-0000-00003F010000}"/>
    <cellStyle name="40% - Accent1 6 2" xfId="4872" xr:uid="{00000000-0005-0000-0000-000040010000}"/>
    <cellStyle name="40% - Accent1 7" xfId="4863" xr:uid="{00000000-0005-0000-0000-000041010000}"/>
    <cellStyle name="40% - Accent2" xfId="22" builtinId="35" customBuiltin="1"/>
    <cellStyle name="40% - Accent2 2" xfId="23" xr:uid="{00000000-0005-0000-0000-000043010000}"/>
    <cellStyle name="40% - Accent2 2 2" xfId="451" xr:uid="{00000000-0005-0000-0000-000044010000}"/>
    <cellStyle name="40% - Accent2 2 2 2" xfId="812" xr:uid="{00000000-0005-0000-0000-000045010000}"/>
    <cellStyle name="40% - Accent2 2 2 3" xfId="813" xr:uid="{00000000-0005-0000-0000-000046010000}"/>
    <cellStyle name="40% - Accent2 2 2 4" xfId="814" xr:uid="{00000000-0005-0000-0000-000047010000}"/>
    <cellStyle name="40% - Accent2 2 2 5" xfId="811" xr:uid="{00000000-0005-0000-0000-000048010000}"/>
    <cellStyle name="40% - Accent2 2 2 6" xfId="4874" xr:uid="{00000000-0005-0000-0000-000049010000}"/>
    <cellStyle name="40% - Accent2 2 3" xfId="4875" xr:uid="{00000000-0005-0000-0000-00004A010000}"/>
    <cellStyle name="40% - Accent2 3" xfId="24" xr:uid="{00000000-0005-0000-0000-00004B010000}"/>
    <cellStyle name="40% - Accent2 3 2" xfId="815" xr:uid="{00000000-0005-0000-0000-00004C010000}"/>
    <cellStyle name="40% - Accent2 3 2 2" xfId="4876" xr:uid="{00000000-0005-0000-0000-00004D010000}"/>
    <cellStyle name="40% - Accent2 3 3" xfId="4877" xr:uid="{00000000-0005-0000-0000-00004E010000}"/>
    <cellStyle name="40% - Accent2 4" xfId="452" xr:uid="{00000000-0005-0000-0000-00004F010000}"/>
    <cellStyle name="40% - Accent2 4 2" xfId="817" xr:uid="{00000000-0005-0000-0000-000050010000}"/>
    <cellStyle name="40% - Accent2 4 2 2" xfId="818" xr:uid="{00000000-0005-0000-0000-000051010000}"/>
    <cellStyle name="40% - Accent2 4 2 2 2" xfId="819" xr:uid="{00000000-0005-0000-0000-000052010000}"/>
    <cellStyle name="40% - Accent2 4 2 3" xfId="820" xr:uid="{00000000-0005-0000-0000-000053010000}"/>
    <cellStyle name="40% - Accent2 4 2 4" xfId="4878" xr:uid="{00000000-0005-0000-0000-000054010000}"/>
    <cellStyle name="40% - Accent2 4 3" xfId="821" xr:uid="{00000000-0005-0000-0000-000055010000}"/>
    <cellStyle name="40% - Accent2 4 3 2" xfId="3967" xr:uid="{00000000-0005-0000-0000-000056010000}"/>
    <cellStyle name="40% - Accent2 4 3 3" xfId="4879" xr:uid="{00000000-0005-0000-0000-000057010000}"/>
    <cellStyle name="40% - Accent2 4 4" xfId="816" xr:uid="{00000000-0005-0000-0000-000058010000}"/>
    <cellStyle name="40% - Accent2 4 4 2" xfId="3966" xr:uid="{00000000-0005-0000-0000-000059010000}"/>
    <cellStyle name="40% - Accent2 4 5" xfId="3910" xr:uid="{00000000-0005-0000-0000-00005A010000}"/>
    <cellStyle name="40% - Accent2 4 6" xfId="6452" xr:uid="{00000000-0005-0000-0000-00005B010000}"/>
    <cellStyle name="40% - Accent2 5" xfId="453" xr:uid="{00000000-0005-0000-0000-00005C010000}"/>
    <cellStyle name="40% - Accent2 5 2" xfId="822" xr:uid="{00000000-0005-0000-0000-00005D010000}"/>
    <cellStyle name="40% - Accent2 5 2 2" xfId="4881" xr:uid="{00000000-0005-0000-0000-00005E010000}"/>
    <cellStyle name="40% - Accent2 5 3" xfId="4880" xr:uid="{00000000-0005-0000-0000-00005F010000}"/>
    <cellStyle name="40% - Accent2 6" xfId="450" xr:uid="{00000000-0005-0000-0000-000060010000}"/>
    <cellStyle name="40% - Accent2 6 2" xfId="4882" xr:uid="{00000000-0005-0000-0000-000061010000}"/>
    <cellStyle name="40% - Accent2 7" xfId="4873" xr:uid="{00000000-0005-0000-0000-000062010000}"/>
    <cellStyle name="40% - Accent3" xfId="25" builtinId="39" customBuiltin="1"/>
    <cellStyle name="40% - Accent3 2" xfId="26" xr:uid="{00000000-0005-0000-0000-000064010000}"/>
    <cellStyle name="40% - Accent3 2 2" xfId="455" xr:uid="{00000000-0005-0000-0000-000065010000}"/>
    <cellStyle name="40% - Accent3 2 2 2" xfId="824" xr:uid="{00000000-0005-0000-0000-000066010000}"/>
    <cellStyle name="40% - Accent3 2 2 3" xfId="825" xr:uid="{00000000-0005-0000-0000-000067010000}"/>
    <cellStyle name="40% - Accent3 2 2 4" xfId="826" xr:uid="{00000000-0005-0000-0000-000068010000}"/>
    <cellStyle name="40% - Accent3 2 2 5" xfId="823" xr:uid="{00000000-0005-0000-0000-000069010000}"/>
    <cellStyle name="40% - Accent3 2 2 6" xfId="4884" xr:uid="{00000000-0005-0000-0000-00006A010000}"/>
    <cellStyle name="40% - Accent3 2 3" xfId="4885" xr:uid="{00000000-0005-0000-0000-00006B010000}"/>
    <cellStyle name="40% - Accent3 3" xfId="27" xr:uid="{00000000-0005-0000-0000-00006C010000}"/>
    <cellStyle name="40% - Accent3 3 2" xfId="827" xr:uid="{00000000-0005-0000-0000-00006D010000}"/>
    <cellStyle name="40% - Accent3 3 2 2" xfId="4886" xr:uid="{00000000-0005-0000-0000-00006E010000}"/>
    <cellStyle name="40% - Accent3 3 3" xfId="4887" xr:uid="{00000000-0005-0000-0000-00006F010000}"/>
    <cellStyle name="40% - Accent3 4" xfId="456" xr:uid="{00000000-0005-0000-0000-000070010000}"/>
    <cellStyle name="40% - Accent3 4 2" xfId="829" xr:uid="{00000000-0005-0000-0000-000071010000}"/>
    <cellStyle name="40% - Accent3 4 2 2" xfId="830" xr:uid="{00000000-0005-0000-0000-000072010000}"/>
    <cellStyle name="40% - Accent3 4 2 2 2" xfId="831" xr:uid="{00000000-0005-0000-0000-000073010000}"/>
    <cellStyle name="40% - Accent3 4 2 3" xfId="832" xr:uid="{00000000-0005-0000-0000-000074010000}"/>
    <cellStyle name="40% - Accent3 4 2 4" xfId="4888" xr:uid="{00000000-0005-0000-0000-000075010000}"/>
    <cellStyle name="40% - Accent3 4 3" xfId="833" xr:uid="{00000000-0005-0000-0000-000076010000}"/>
    <cellStyle name="40% - Accent3 4 3 2" xfId="3969" xr:uid="{00000000-0005-0000-0000-000077010000}"/>
    <cellStyle name="40% - Accent3 4 3 3" xfId="4889" xr:uid="{00000000-0005-0000-0000-000078010000}"/>
    <cellStyle name="40% - Accent3 4 4" xfId="828" xr:uid="{00000000-0005-0000-0000-000079010000}"/>
    <cellStyle name="40% - Accent3 4 4 2" xfId="3968" xr:uid="{00000000-0005-0000-0000-00007A010000}"/>
    <cellStyle name="40% - Accent3 4 5" xfId="3911" xr:uid="{00000000-0005-0000-0000-00007B010000}"/>
    <cellStyle name="40% - Accent3 4 6" xfId="6459" xr:uid="{00000000-0005-0000-0000-00007C010000}"/>
    <cellStyle name="40% - Accent3 5" xfId="457" xr:uid="{00000000-0005-0000-0000-00007D010000}"/>
    <cellStyle name="40% - Accent3 5 2" xfId="834" xr:uid="{00000000-0005-0000-0000-00007E010000}"/>
    <cellStyle name="40% - Accent3 5 2 2" xfId="4891" xr:uid="{00000000-0005-0000-0000-00007F010000}"/>
    <cellStyle name="40% - Accent3 5 3" xfId="4890" xr:uid="{00000000-0005-0000-0000-000080010000}"/>
    <cellStyle name="40% - Accent3 6" xfId="454" xr:uid="{00000000-0005-0000-0000-000081010000}"/>
    <cellStyle name="40% - Accent3 6 2" xfId="4892" xr:uid="{00000000-0005-0000-0000-000082010000}"/>
    <cellStyle name="40% - Accent3 7" xfId="4883" xr:uid="{00000000-0005-0000-0000-000083010000}"/>
    <cellStyle name="40% - Accent4" xfId="28" builtinId="43" customBuiltin="1"/>
    <cellStyle name="40% - Accent4 2" xfId="29" xr:uid="{00000000-0005-0000-0000-000085010000}"/>
    <cellStyle name="40% - Accent4 2 2" xfId="459" xr:uid="{00000000-0005-0000-0000-000086010000}"/>
    <cellStyle name="40% - Accent4 2 2 2" xfId="836" xr:uid="{00000000-0005-0000-0000-000087010000}"/>
    <cellStyle name="40% - Accent4 2 2 3" xfId="837" xr:uid="{00000000-0005-0000-0000-000088010000}"/>
    <cellStyle name="40% - Accent4 2 2 4" xfId="838" xr:uid="{00000000-0005-0000-0000-000089010000}"/>
    <cellStyle name="40% - Accent4 2 2 5" xfId="835" xr:uid="{00000000-0005-0000-0000-00008A010000}"/>
    <cellStyle name="40% - Accent4 2 2 6" xfId="4894" xr:uid="{00000000-0005-0000-0000-00008B010000}"/>
    <cellStyle name="40% - Accent4 2 3" xfId="4895" xr:uid="{00000000-0005-0000-0000-00008C010000}"/>
    <cellStyle name="40% - Accent4 3" xfId="30" xr:uid="{00000000-0005-0000-0000-00008D010000}"/>
    <cellStyle name="40% - Accent4 3 2" xfId="839" xr:uid="{00000000-0005-0000-0000-00008E010000}"/>
    <cellStyle name="40% - Accent4 3 2 2" xfId="4896" xr:uid="{00000000-0005-0000-0000-00008F010000}"/>
    <cellStyle name="40% - Accent4 3 3" xfId="4897" xr:uid="{00000000-0005-0000-0000-000090010000}"/>
    <cellStyle name="40% - Accent4 4" xfId="460" xr:uid="{00000000-0005-0000-0000-000091010000}"/>
    <cellStyle name="40% - Accent4 4 2" xfId="841" xr:uid="{00000000-0005-0000-0000-000092010000}"/>
    <cellStyle name="40% - Accent4 4 2 2" xfId="842" xr:uid="{00000000-0005-0000-0000-000093010000}"/>
    <cellStyle name="40% - Accent4 4 2 2 2" xfId="843" xr:uid="{00000000-0005-0000-0000-000094010000}"/>
    <cellStyle name="40% - Accent4 4 2 3" xfId="844" xr:uid="{00000000-0005-0000-0000-000095010000}"/>
    <cellStyle name="40% - Accent4 4 2 4" xfId="4898" xr:uid="{00000000-0005-0000-0000-000096010000}"/>
    <cellStyle name="40% - Accent4 4 3" xfId="845" xr:uid="{00000000-0005-0000-0000-000097010000}"/>
    <cellStyle name="40% - Accent4 4 3 2" xfId="3971" xr:uid="{00000000-0005-0000-0000-000098010000}"/>
    <cellStyle name="40% - Accent4 4 3 3" xfId="4899" xr:uid="{00000000-0005-0000-0000-000099010000}"/>
    <cellStyle name="40% - Accent4 4 4" xfId="840" xr:uid="{00000000-0005-0000-0000-00009A010000}"/>
    <cellStyle name="40% - Accent4 4 4 2" xfId="3970" xr:uid="{00000000-0005-0000-0000-00009B010000}"/>
    <cellStyle name="40% - Accent4 4 5" xfId="3912" xr:uid="{00000000-0005-0000-0000-00009C010000}"/>
    <cellStyle name="40% - Accent4 4 6" xfId="6472" xr:uid="{00000000-0005-0000-0000-00009D010000}"/>
    <cellStyle name="40% - Accent4 5" xfId="461" xr:uid="{00000000-0005-0000-0000-00009E010000}"/>
    <cellStyle name="40% - Accent4 5 2" xfId="846" xr:uid="{00000000-0005-0000-0000-00009F010000}"/>
    <cellStyle name="40% - Accent4 5 2 2" xfId="4901" xr:uid="{00000000-0005-0000-0000-0000A0010000}"/>
    <cellStyle name="40% - Accent4 5 3" xfId="4900" xr:uid="{00000000-0005-0000-0000-0000A1010000}"/>
    <cellStyle name="40% - Accent4 6" xfId="458" xr:uid="{00000000-0005-0000-0000-0000A2010000}"/>
    <cellStyle name="40% - Accent4 6 2" xfId="4902" xr:uid="{00000000-0005-0000-0000-0000A3010000}"/>
    <cellStyle name="40% - Accent4 7" xfId="4893" xr:uid="{00000000-0005-0000-0000-0000A4010000}"/>
    <cellStyle name="40% - Accent5" xfId="31" builtinId="47" customBuiltin="1"/>
    <cellStyle name="40% - Accent5 2" xfId="32" xr:uid="{00000000-0005-0000-0000-0000A6010000}"/>
    <cellStyle name="40% - Accent5 2 2" xfId="463" xr:uid="{00000000-0005-0000-0000-0000A7010000}"/>
    <cellStyle name="40% - Accent5 2 2 2" xfId="848" xr:uid="{00000000-0005-0000-0000-0000A8010000}"/>
    <cellStyle name="40% - Accent5 2 2 3" xfId="849" xr:uid="{00000000-0005-0000-0000-0000A9010000}"/>
    <cellStyle name="40% - Accent5 2 2 4" xfId="850" xr:uid="{00000000-0005-0000-0000-0000AA010000}"/>
    <cellStyle name="40% - Accent5 2 2 5" xfId="847" xr:uid="{00000000-0005-0000-0000-0000AB010000}"/>
    <cellStyle name="40% - Accent5 2 2 6" xfId="4904" xr:uid="{00000000-0005-0000-0000-0000AC010000}"/>
    <cellStyle name="40% - Accent5 2 3" xfId="4905" xr:uid="{00000000-0005-0000-0000-0000AD010000}"/>
    <cellStyle name="40% - Accent5 3" xfId="33" xr:uid="{00000000-0005-0000-0000-0000AE010000}"/>
    <cellStyle name="40% - Accent5 3 2" xfId="851" xr:uid="{00000000-0005-0000-0000-0000AF010000}"/>
    <cellStyle name="40% - Accent5 3 2 2" xfId="4906" xr:uid="{00000000-0005-0000-0000-0000B0010000}"/>
    <cellStyle name="40% - Accent5 3 3" xfId="4907" xr:uid="{00000000-0005-0000-0000-0000B1010000}"/>
    <cellStyle name="40% - Accent5 4" xfId="464" xr:uid="{00000000-0005-0000-0000-0000B2010000}"/>
    <cellStyle name="40% - Accent5 4 2" xfId="853" xr:uid="{00000000-0005-0000-0000-0000B3010000}"/>
    <cellStyle name="40% - Accent5 4 2 2" xfId="854" xr:uid="{00000000-0005-0000-0000-0000B4010000}"/>
    <cellStyle name="40% - Accent5 4 2 2 2" xfId="855" xr:uid="{00000000-0005-0000-0000-0000B5010000}"/>
    <cellStyle name="40% - Accent5 4 2 3" xfId="856" xr:uid="{00000000-0005-0000-0000-0000B6010000}"/>
    <cellStyle name="40% - Accent5 4 2 4" xfId="4908" xr:uid="{00000000-0005-0000-0000-0000B7010000}"/>
    <cellStyle name="40% - Accent5 4 3" xfId="857" xr:uid="{00000000-0005-0000-0000-0000B8010000}"/>
    <cellStyle name="40% - Accent5 4 3 2" xfId="3973" xr:uid="{00000000-0005-0000-0000-0000B9010000}"/>
    <cellStyle name="40% - Accent5 4 3 3" xfId="4909" xr:uid="{00000000-0005-0000-0000-0000BA010000}"/>
    <cellStyle name="40% - Accent5 4 4" xfId="852" xr:uid="{00000000-0005-0000-0000-0000BB010000}"/>
    <cellStyle name="40% - Accent5 4 4 2" xfId="3972" xr:uid="{00000000-0005-0000-0000-0000BC010000}"/>
    <cellStyle name="40% - Accent5 4 5" xfId="3913" xr:uid="{00000000-0005-0000-0000-0000BD010000}"/>
    <cellStyle name="40% - Accent5 4 6" xfId="6475" xr:uid="{00000000-0005-0000-0000-0000BE010000}"/>
    <cellStyle name="40% - Accent5 5" xfId="465" xr:uid="{00000000-0005-0000-0000-0000BF010000}"/>
    <cellStyle name="40% - Accent5 5 2" xfId="858" xr:uid="{00000000-0005-0000-0000-0000C0010000}"/>
    <cellStyle name="40% - Accent5 5 2 2" xfId="4911" xr:uid="{00000000-0005-0000-0000-0000C1010000}"/>
    <cellStyle name="40% - Accent5 5 3" xfId="4910" xr:uid="{00000000-0005-0000-0000-0000C2010000}"/>
    <cellStyle name="40% - Accent5 6" xfId="462" xr:uid="{00000000-0005-0000-0000-0000C3010000}"/>
    <cellStyle name="40% - Accent5 6 2" xfId="4912" xr:uid="{00000000-0005-0000-0000-0000C4010000}"/>
    <cellStyle name="40% - Accent5 7" xfId="4903" xr:uid="{00000000-0005-0000-0000-0000C5010000}"/>
    <cellStyle name="40% - Accent6" xfId="34" builtinId="51" customBuiltin="1"/>
    <cellStyle name="40% - Accent6 2" xfId="35" xr:uid="{00000000-0005-0000-0000-0000C7010000}"/>
    <cellStyle name="40% - Accent6 2 2" xfId="467" xr:uid="{00000000-0005-0000-0000-0000C8010000}"/>
    <cellStyle name="40% - Accent6 2 2 2" xfId="860" xr:uid="{00000000-0005-0000-0000-0000C9010000}"/>
    <cellStyle name="40% - Accent6 2 2 3" xfId="861" xr:uid="{00000000-0005-0000-0000-0000CA010000}"/>
    <cellStyle name="40% - Accent6 2 2 4" xfId="862" xr:uid="{00000000-0005-0000-0000-0000CB010000}"/>
    <cellStyle name="40% - Accent6 2 2 5" xfId="859" xr:uid="{00000000-0005-0000-0000-0000CC010000}"/>
    <cellStyle name="40% - Accent6 2 2 6" xfId="4914" xr:uid="{00000000-0005-0000-0000-0000CD010000}"/>
    <cellStyle name="40% - Accent6 2 3" xfId="4915" xr:uid="{00000000-0005-0000-0000-0000CE010000}"/>
    <cellStyle name="40% - Accent6 3" xfId="36" xr:uid="{00000000-0005-0000-0000-0000CF010000}"/>
    <cellStyle name="40% - Accent6 3 2" xfId="863" xr:uid="{00000000-0005-0000-0000-0000D0010000}"/>
    <cellStyle name="40% - Accent6 3 2 2" xfId="4916" xr:uid="{00000000-0005-0000-0000-0000D1010000}"/>
    <cellStyle name="40% - Accent6 3 3" xfId="4917" xr:uid="{00000000-0005-0000-0000-0000D2010000}"/>
    <cellStyle name="40% - Accent6 4" xfId="468" xr:uid="{00000000-0005-0000-0000-0000D3010000}"/>
    <cellStyle name="40% - Accent6 4 2" xfId="865" xr:uid="{00000000-0005-0000-0000-0000D4010000}"/>
    <cellStyle name="40% - Accent6 4 2 2" xfId="866" xr:uid="{00000000-0005-0000-0000-0000D5010000}"/>
    <cellStyle name="40% - Accent6 4 2 2 2" xfId="867" xr:uid="{00000000-0005-0000-0000-0000D6010000}"/>
    <cellStyle name="40% - Accent6 4 2 3" xfId="868" xr:uid="{00000000-0005-0000-0000-0000D7010000}"/>
    <cellStyle name="40% - Accent6 4 2 4" xfId="4918" xr:uid="{00000000-0005-0000-0000-0000D8010000}"/>
    <cellStyle name="40% - Accent6 4 3" xfId="869" xr:uid="{00000000-0005-0000-0000-0000D9010000}"/>
    <cellStyle name="40% - Accent6 4 3 2" xfId="3975" xr:uid="{00000000-0005-0000-0000-0000DA010000}"/>
    <cellStyle name="40% - Accent6 4 3 3" xfId="4919" xr:uid="{00000000-0005-0000-0000-0000DB010000}"/>
    <cellStyle name="40% - Accent6 4 4" xfId="864" xr:uid="{00000000-0005-0000-0000-0000DC010000}"/>
    <cellStyle name="40% - Accent6 4 4 2" xfId="3974" xr:uid="{00000000-0005-0000-0000-0000DD010000}"/>
    <cellStyle name="40% - Accent6 4 5" xfId="3914" xr:uid="{00000000-0005-0000-0000-0000DE010000}"/>
    <cellStyle name="40% - Accent6 4 6" xfId="6438" xr:uid="{00000000-0005-0000-0000-0000DF010000}"/>
    <cellStyle name="40% - Accent6 5" xfId="469" xr:uid="{00000000-0005-0000-0000-0000E0010000}"/>
    <cellStyle name="40% - Accent6 5 2" xfId="870" xr:uid="{00000000-0005-0000-0000-0000E1010000}"/>
    <cellStyle name="40% - Accent6 5 2 2" xfId="4921" xr:uid="{00000000-0005-0000-0000-0000E2010000}"/>
    <cellStyle name="40% - Accent6 5 3" xfId="4920" xr:uid="{00000000-0005-0000-0000-0000E3010000}"/>
    <cellStyle name="40% - Accent6 6" xfId="466" xr:uid="{00000000-0005-0000-0000-0000E4010000}"/>
    <cellStyle name="40% - Accent6 6 2" xfId="4922" xr:uid="{00000000-0005-0000-0000-0000E5010000}"/>
    <cellStyle name="40% - Accent6 7" xfId="4913" xr:uid="{00000000-0005-0000-0000-0000E6010000}"/>
    <cellStyle name="40% - 강조색1" xfId="871" xr:uid="{00000000-0005-0000-0000-0000E7010000}"/>
    <cellStyle name="40% - 강조색1 2" xfId="872" xr:uid="{00000000-0005-0000-0000-0000E8010000}"/>
    <cellStyle name="40% - 강조색1 2 2" xfId="4924" xr:uid="{00000000-0005-0000-0000-0000E9010000}"/>
    <cellStyle name="40% - 강조색1 3" xfId="4923" xr:uid="{00000000-0005-0000-0000-0000EA010000}"/>
    <cellStyle name="40% - 강조색2" xfId="873" xr:uid="{00000000-0005-0000-0000-0000EB010000}"/>
    <cellStyle name="40% - 강조색2 2" xfId="874" xr:uid="{00000000-0005-0000-0000-0000EC010000}"/>
    <cellStyle name="40% - 강조색2 2 2" xfId="4926" xr:uid="{00000000-0005-0000-0000-0000ED010000}"/>
    <cellStyle name="40% - 강조색2 3" xfId="4925" xr:uid="{00000000-0005-0000-0000-0000EE010000}"/>
    <cellStyle name="40% - 강조색3" xfId="875" xr:uid="{00000000-0005-0000-0000-0000EF010000}"/>
    <cellStyle name="40% - 강조색3 2" xfId="876" xr:uid="{00000000-0005-0000-0000-0000F0010000}"/>
    <cellStyle name="40% - 강조색3 2 2" xfId="4928" xr:uid="{00000000-0005-0000-0000-0000F1010000}"/>
    <cellStyle name="40% - 강조색3 3" xfId="4927" xr:uid="{00000000-0005-0000-0000-0000F2010000}"/>
    <cellStyle name="40% - 강조색4" xfId="877" xr:uid="{00000000-0005-0000-0000-0000F3010000}"/>
    <cellStyle name="40% - 강조색4 2" xfId="878" xr:uid="{00000000-0005-0000-0000-0000F4010000}"/>
    <cellStyle name="40% - 강조색4 2 2" xfId="4930" xr:uid="{00000000-0005-0000-0000-0000F5010000}"/>
    <cellStyle name="40% - 강조색4 3" xfId="4929" xr:uid="{00000000-0005-0000-0000-0000F6010000}"/>
    <cellStyle name="40% - 강조색5" xfId="879" xr:uid="{00000000-0005-0000-0000-0000F7010000}"/>
    <cellStyle name="40% - 강조색5 2" xfId="880" xr:uid="{00000000-0005-0000-0000-0000F8010000}"/>
    <cellStyle name="40% - 강조색5 2 2" xfId="4932" xr:uid="{00000000-0005-0000-0000-0000F9010000}"/>
    <cellStyle name="40% - 강조색5 3" xfId="4931" xr:uid="{00000000-0005-0000-0000-0000FA010000}"/>
    <cellStyle name="40% - 강조색6" xfId="881" xr:uid="{00000000-0005-0000-0000-0000FB010000}"/>
    <cellStyle name="40% - 강조색6 2" xfId="882" xr:uid="{00000000-0005-0000-0000-0000FC010000}"/>
    <cellStyle name="40% - 강조색6 2 2" xfId="4934" xr:uid="{00000000-0005-0000-0000-0000FD010000}"/>
    <cellStyle name="40% - 강조색6 3" xfId="4933" xr:uid="{00000000-0005-0000-0000-0000FE010000}"/>
    <cellStyle name="40% - 强调文字颜色 1" xfId="883" xr:uid="{00000000-0005-0000-0000-0000FF010000}"/>
    <cellStyle name="40% - 强调文字颜色 1 2" xfId="884" xr:uid="{00000000-0005-0000-0000-000000020000}"/>
    <cellStyle name="40% - 强调文字颜色 1 2 2" xfId="4936" xr:uid="{00000000-0005-0000-0000-000001020000}"/>
    <cellStyle name="40% - 强调文字颜色 1 3" xfId="4935" xr:uid="{00000000-0005-0000-0000-000002020000}"/>
    <cellStyle name="40% - 强调文字颜色 2" xfId="885" xr:uid="{00000000-0005-0000-0000-000003020000}"/>
    <cellStyle name="40% - 强调文字颜色 2 2" xfId="886" xr:uid="{00000000-0005-0000-0000-000004020000}"/>
    <cellStyle name="40% - 强调文字颜色 2 2 2" xfId="4938" xr:uid="{00000000-0005-0000-0000-000005020000}"/>
    <cellStyle name="40% - 强调文字颜色 2 3" xfId="4937" xr:uid="{00000000-0005-0000-0000-000006020000}"/>
    <cellStyle name="40% - 强调文字颜色 3" xfId="887" xr:uid="{00000000-0005-0000-0000-000007020000}"/>
    <cellStyle name="40% - 强调文字颜色 3 2" xfId="888" xr:uid="{00000000-0005-0000-0000-000008020000}"/>
    <cellStyle name="40% - 强调文字颜色 3 2 2" xfId="4940" xr:uid="{00000000-0005-0000-0000-000009020000}"/>
    <cellStyle name="40% - 强调文字颜色 3 3" xfId="4939" xr:uid="{00000000-0005-0000-0000-00000A020000}"/>
    <cellStyle name="40% - 强调文字颜色 4" xfId="889" xr:uid="{00000000-0005-0000-0000-00000B020000}"/>
    <cellStyle name="40% - 强调文字颜色 4 2" xfId="890" xr:uid="{00000000-0005-0000-0000-00000C020000}"/>
    <cellStyle name="40% - 强调文字颜色 4 2 2" xfId="4942" xr:uid="{00000000-0005-0000-0000-00000D020000}"/>
    <cellStyle name="40% - 强调文字颜色 4 3" xfId="4941" xr:uid="{00000000-0005-0000-0000-00000E020000}"/>
    <cellStyle name="40% - 强调文字颜色 5" xfId="891" xr:uid="{00000000-0005-0000-0000-00000F020000}"/>
    <cellStyle name="40% - 强调文字颜色 5 2" xfId="892" xr:uid="{00000000-0005-0000-0000-000010020000}"/>
    <cellStyle name="40% - 强调文字颜色 5 2 2" xfId="4944" xr:uid="{00000000-0005-0000-0000-000011020000}"/>
    <cellStyle name="40% - 强调文字颜色 5 3" xfId="4943" xr:uid="{00000000-0005-0000-0000-000012020000}"/>
    <cellStyle name="40% - 强调文字颜色 6" xfId="893" xr:uid="{00000000-0005-0000-0000-000013020000}"/>
    <cellStyle name="40% - 强调文字颜色 6 2" xfId="894" xr:uid="{00000000-0005-0000-0000-000014020000}"/>
    <cellStyle name="40% - 强调文字颜色 6 2 2" xfId="4946" xr:uid="{00000000-0005-0000-0000-000015020000}"/>
    <cellStyle name="40% - 强调文字颜色 6 3" xfId="4945" xr:uid="{00000000-0005-0000-0000-000016020000}"/>
    <cellStyle name="60% - Accent1" xfId="37" builtinId="32" customBuiltin="1"/>
    <cellStyle name="60% - Accent1 2" xfId="38" xr:uid="{00000000-0005-0000-0000-000018020000}"/>
    <cellStyle name="60% - Accent1 2 2" xfId="471" xr:uid="{00000000-0005-0000-0000-000019020000}"/>
    <cellStyle name="60% - Accent1 2 2 2" xfId="896" xr:uid="{00000000-0005-0000-0000-00001A020000}"/>
    <cellStyle name="60% - Accent1 2 2 3" xfId="897" xr:uid="{00000000-0005-0000-0000-00001B020000}"/>
    <cellStyle name="60% - Accent1 2 2 4" xfId="898" xr:uid="{00000000-0005-0000-0000-00001C020000}"/>
    <cellStyle name="60% - Accent1 2 2 5" xfId="895" xr:uid="{00000000-0005-0000-0000-00001D020000}"/>
    <cellStyle name="60% - Accent1 2 2 6" xfId="4947" xr:uid="{00000000-0005-0000-0000-00001E020000}"/>
    <cellStyle name="60% - Accent1 2 3" xfId="4948" xr:uid="{00000000-0005-0000-0000-00001F020000}"/>
    <cellStyle name="60% - Accent1 3" xfId="39" xr:uid="{00000000-0005-0000-0000-000020020000}"/>
    <cellStyle name="60% - Accent1 3 2" xfId="899" xr:uid="{00000000-0005-0000-0000-000021020000}"/>
    <cellStyle name="60% - Accent1 3 2 2" xfId="4949" xr:uid="{00000000-0005-0000-0000-000022020000}"/>
    <cellStyle name="60% - Accent1 3 3" xfId="4950" xr:uid="{00000000-0005-0000-0000-000023020000}"/>
    <cellStyle name="60% - Accent1 4" xfId="472" xr:uid="{00000000-0005-0000-0000-000024020000}"/>
    <cellStyle name="60% - Accent1 4 2" xfId="900" xr:uid="{00000000-0005-0000-0000-000025020000}"/>
    <cellStyle name="60% - Accent1 4 2 2" xfId="4951" xr:uid="{00000000-0005-0000-0000-000026020000}"/>
    <cellStyle name="60% - Accent1 4 3" xfId="901" xr:uid="{00000000-0005-0000-0000-000027020000}"/>
    <cellStyle name="60% - Accent1 4 4" xfId="6489" xr:uid="{00000000-0005-0000-0000-000028020000}"/>
    <cellStyle name="60% - Accent1 5" xfId="473" xr:uid="{00000000-0005-0000-0000-000029020000}"/>
    <cellStyle name="60% - Accent1 6" xfId="470" xr:uid="{00000000-0005-0000-0000-00002A020000}"/>
    <cellStyle name="60% - Accent2" xfId="40" builtinId="36" customBuiltin="1"/>
    <cellStyle name="60% - Accent2 2" xfId="41" xr:uid="{00000000-0005-0000-0000-00002C020000}"/>
    <cellStyle name="60% - Accent2 2 2" xfId="475" xr:uid="{00000000-0005-0000-0000-00002D020000}"/>
    <cellStyle name="60% - Accent2 2 2 2" xfId="903" xr:uid="{00000000-0005-0000-0000-00002E020000}"/>
    <cellStyle name="60% - Accent2 2 2 3" xfId="904" xr:uid="{00000000-0005-0000-0000-00002F020000}"/>
    <cellStyle name="60% - Accent2 2 2 4" xfId="905" xr:uid="{00000000-0005-0000-0000-000030020000}"/>
    <cellStyle name="60% - Accent2 2 2 5" xfId="902" xr:uid="{00000000-0005-0000-0000-000031020000}"/>
    <cellStyle name="60% - Accent2 2 2 6" xfId="4952" xr:uid="{00000000-0005-0000-0000-000032020000}"/>
    <cellStyle name="60% - Accent2 2 3" xfId="4953" xr:uid="{00000000-0005-0000-0000-000033020000}"/>
    <cellStyle name="60% - Accent2 3" xfId="42" xr:uid="{00000000-0005-0000-0000-000034020000}"/>
    <cellStyle name="60% - Accent2 3 2" xfId="906" xr:uid="{00000000-0005-0000-0000-000035020000}"/>
    <cellStyle name="60% - Accent2 3 2 2" xfId="4954" xr:uid="{00000000-0005-0000-0000-000036020000}"/>
    <cellStyle name="60% - Accent2 3 3" xfId="4955" xr:uid="{00000000-0005-0000-0000-000037020000}"/>
    <cellStyle name="60% - Accent2 4" xfId="476" xr:uid="{00000000-0005-0000-0000-000038020000}"/>
    <cellStyle name="60% - Accent2 4 2" xfId="907" xr:uid="{00000000-0005-0000-0000-000039020000}"/>
    <cellStyle name="60% - Accent2 4 2 2" xfId="4956" xr:uid="{00000000-0005-0000-0000-00003A020000}"/>
    <cellStyle name="60% - Accent2 4 3" xfId="908" xr:uid="{00000000-0005-0000-0000-00003B020000}"/>
    <cellStyle name="60% - Accent2 4 4" xfId="6499" xr:uid="{00000000-0005-0000-0000-00003C020000}"/>
    <cellStyle name="60% - Accent2 5" xfId="477" xr:uid="{00000000-0005-0000-0000-00003D020000}"/>
    <cellStyle name="60% - Accent2 6" xfId="474" xr:uid="{00000000-0005-0000-0000-00003E020000}"/>
    <cellStyle name="60% - Accent3" xfId="43" builtinId="40" customBuiltin="1"/>
    <cellStyle name="60% - Accent3 2" xfId="44" xr:uid="{00000000-0005-0000-0000-000040020000}"/>
    <cellStyle name="60% - Accent3 2 2" xfId="479" xr:uid="{00000000-0005-0000-0000-000041020000}"/>
    <cellStyle name="60% - Accent3 2 2 2" xfId="910" xr:uid="{00000000-0005-0000-0000-000042020000}"/>
    <cellStyle name="60% - Accent3 2 2 3" xfId="911" xr:uid="{00000000-0005-0000-0000-000043020000}"/>
    <cellStyle name="60% - Accent3 2 2 4" xfId="912" xr:uid="{00000000-0005-0000-0000-000044020000}"/>
    <cellStyle name="60% - Accent3 2 2 5" xfId="909" xr:uid="{00000000-0005-0000-0000-000045020000}"/>
    <cellStyle name="60% - Accent3 2 2 6" xfId="4957" xr:uid="{00000000-0005-0000-0000-000046020000}"/>
    <cellStyle name="60% - Accent3 2 3" xfId="4958" xr:uid="{00000000-0005-0000-0000-000047020000}"/>
    <cellStyle name="60% - Accent3 3" xfId="45" xr:uid="{00000000-0005-0000-0000-000048020000}"/>
    <cellStyle name="60% - Accent3 3 2" xfId="913" xr:uid="{00000000-0005-0000-0000-000049020000}"/>
    <cellStyle name="60% - Accent3 3 2 2" xfId="4959" xr:uid="{00000000-0005-0000-0000-00004A020000}"/>
    <cellStyle name="60% - Accent3 3 3" xfId="4960" xr:uid="{00000000-0005-0000-0000-00004B020000}"/>
    <cellStyle name="60% - Accent3 4" xfId="480" xr:uid="{00000000-0005-0000-0000-00004C020000}"/>
    <cellStyle name="60% - Accent3 4 2" xfId="914" xr:uid="{00000000-0005-0000-0000-00004D020000}"/>
    <cellStyle name="60% - Accent3 4 2 2" xfId="4961" xr:uid="{00000000-0005-0000-0000-00004E020000}"/>
    <cellStyle name="60% - Accent3 4 3" xfId="915" xr:uid="{00000000-0005-0000-0000-00004F020000}"/>
    <cellStyle name="60% - Accent3 4 4" xfId="6468" xr:uid="{00000000-0005-0000-0000-000050020000}"/>
    <cellStyle name="60% - Accent3 5" xfId="481" xr:uid="{00000000-0005-0000-0000-000051020000}"/>
    <cellStyle name="60% - Accent3 6" xfId="478" xr:uid="{00000000-0005-0000-0000-000052020000}"/>
    <cellStyle name="60% - Accent4" xfId="46" builtinId="44" customBuiltin="1"/>
    <cellStyle name="60% - Accent4 2" xfId="47" xr:uid="{00000000-0005-0000-0000-000054020000}"/>
    <cellStyle name="60% - Accent4 2 2" xfId="483" xr:uid="{00000000-0005-0000-0000-000055020000}"/>
    <cellStyle name="60% - Accent4 2 2 2" xfId="917" xr:uid="{00000000-0005-0000-0000-000056020000}"/>
    <cellStyle name="60% - Accent4 2 2 3" xfId="918" xr:uid="{00000000-0005-0000-0000-000057020000}"/>
    <cellStyle name="60% - Accent4 2 2 4" xfId="919" xr:uid="{00000000-0005-0000-0000-000058020000}"/>
    <cellStyle name="60% - Accent4 2 2 5" xfId="916" xr:uid="{00000000-0005-0000-0000-000059020000}"/>
    <cellStyle name="60% - Accent4 2 2 6" xfId="4962" xr:uid="{00000000-0005-0000-0000-00005A020000}"/>
    <cellStyle name="60% - Accent4 2 3" xfId="4963" xr:uid="{00000000-0005-0000-0000-00005B020000}"/>
    <cellStyle name="60% - Accent4 3" xfId="48" xr:uid="{00000000-0005-0000-0000-00005C020000}"/>
    <cellStyle name="60% - Accent4 3 2" xfId="920" xr:uid="{00000000-0005-0000-0000-00005D020000}"/>
    <cellStyle name="60% - Accent4 3 2 2" xfId="4964" xr:uid="{00000000-0005-0000-0000-00005E020000}"/>
    <cellStyle name="60% - Accent4 3 3" xfId="4965" xr:uid="{00000000-0005-0000-0000-00005F020000}"/>
    <cellStyle name="60% - Accent4 4" xfId="484" xr:uid="{00000000-0005-0000-0000-000060020000}"/>
    <cellStyle name="60% - Accent4 4 2" xfId="921" xr:uid="{00000000-0005-0000-0000-000061020000}"/>
    <cellStyle name="60% - Accent4 4 2 2" xfId="4966" xr:uid="{00000000-0005-0000-0000-000062020000}"/>
    <cellStyle name="60% - Accent4 4 3" xfId="922" xr:uid="{00000000-0005-0000-0000-000063020000}"/>
    <cellStyle name="60% - Accent4 4 4" xfId="6480" xr:uid="{00000000-0005-0000-0000-000064020000}"/>
    <cellStyle name="60% - Accent4 5" xfId="485" xr:uid="{00000000-0005-0000-0000-000065020000}"/>
    <cellStyle name="60% - Accent4 6" xfId="482" xr:uid="{00000000-0005-0000-0000-000066020000}"/>
    <cellStyle name="60% - Accent5" xfId="49" builtinId="48" customBuiltin="1"/>
    <cellStyle name="60% - Accent5 2" xfId="50" xr:uid="{00000000-0005-0000-0000-000068020000}"/>
    <cellStyle name="60% - Accent5 2 2" xfId="487" xr:uid="{00000000-0005-0000-0000-000069020000}"/>
    <cellStyle name="60% - Accent5 2 2 2" xfId="924" xr:uid="{00000000-0005-0000-0000-00006A020000}"/>
    <cellStyle name="60% - Accent5 2 2 3" xfId="925" xr:uid="{00000000-0005-0000-0000-00006B020000}"/>
    <cellStyle name="60% - Accent5 2 2 4" xfId="926" xr:uid="{00000000-0005-0000-0000-00006C020000}"/>
    <cellStyle name="60% - Accent5 2 2 5" xfId="923" xr:uid="{00000000-0005-0000-0000-00006D020000}"/>
    <cellStyle name="60% - Accent5 2 2 6" xfId="4967" xr:uid="{00000000-0005-0000-0000-00006E020000}"/>
    <cellStyle name="60% - Accent5 2 3" xfId="4968" xr:uid="{00000000-0005-0000-0000-00006F020000}"/>
    <cellStyle name="60% - Accent5 3" xfId="51" xr:uid="{00000000-0005-0000-0000-000070020000}"/>
    <cellStyle name="60% - Accent5 3 2" xfId="927" xr:uid="{00000000-0005-0000-0000-000071020000}"/>
    <cellStyle name="60% - Accent5 3 2 2" xfId="4969" xr:uid="{00000000-0005-0000-0000-000072020000}"/>
    <cellStyle name="60% - Accent5 3 3" xfId="4970" xr:uid="{00000000-0005-0000-0000-000073020000}"/>
    <cellStyle name="60% - Accent5 4" xfId="488" xr:uid="{00000000-0005-0000-0000-000074020000}"/>
    <cellStyle name="60% - Accent5 4 2" xfId="928" xr:uid="{00000000-0005-0000-0000-000075020000}"/>
    <cellStyle name="60% - Accent5 4 2 2" xfId="4971" xr:uid="{00000000-0005-0000-0000-000076020000}"/>
    <cellStyle name="60% - Accent5 4 3" xfId="929" xr:uid="{00000000-0005-0000-0000-000077020000}"/>
    <cellStyle name="60% - Accent5 4 4" xfId="376" xr:uid="{00000000-0005-0000-0000-000078020000}"/>
    <cellStyle name="60% - Accent5 5" xfId="489" xr:uid="{00000000-0005-0000-0000-000079020000}"/>
    <cellStyle name="60% - Accent5 6" xfId="486" xr:uid="{00000000-0005-0000-0000-00007A020000}"/>
    <cellStyle name="60% - Accent6" xfId="52" builtinId="52" customBuiltin="1"/>
    <cellStyle name="60% - Accent6 2" xfId="53" xr:uid="{00000000-0005-0000-0000-00007C020000}"/>
    <cellStyle name="60% - Accent6 2 2" xfId="491" xr:uid="{00000000-0005-0000-0000-00007D020000}"/>
    <cellStyle name="60% - Accent6 2 2 2" xfId="931" xr:uid="{00000000-0005-0000-0000-00007E020000}"/>
    <cellStyle name="60% - Accent6 2 2 3" xfId="932" xr:uid="{00000000-0005-0000-0000-00007F020000}"/>
    <cellStyle name="60% - Accent6 2 2 4" xfId="933" xr:uid="{00000000-0005-0000-0000-000080020000}"/>
    <cellStyle name="60% - Accent6 2 2 5" xfId="930" xr:uid="{00000000-0005-0000-0000-000081020000}"/>
    <cellStyle name="60% - Accent6 2 2 6" xfId="4972" xr:uid="{00000000-0005-0000-0000-000082020000}"/>
    <cellStyle name="60% - Accent6 2 3" xfId="4973" xr:uid="{00000000-0005-0000-0000-000083020000}"/>
    <cellStyle name="60% - Accent6 3" xfId="54" xr:uid="{00000000-0005-0000-0000-000084020000}"/>
    <cellStyle name="60% - Accent6 3 2" xfId="934" xr:uid="{00000000-0005-0000-0000-000085020000}"/>
    <cellStyle name="60% - Accent6 3 2 2" xfId="4974" xr:uid="{00000000-0005-0000-0000-000086020000}"/>
    <cellStyle name="60% - Accent6 3 3" xfId="4975" xr:uid="{00000000-0005-0000-0000-000087020000}"/>
    <cellStyle name="60% - Accent6 4" xfId="492" xr:uid="{00000000-0005-0000-0000-000088020000}"/>
    <cellStyle name="60% - Accent6 4 2" xfId="935" xr:uid="{00000000-0005-0000-0000-000089020000}"/>
    <cellStyle name="60% - Accent6 4 2 2" xfId="4976" xr:uid="{00000000-0005-0000-0000-00008A020000}"/>
    <cellStyle name="60% - Accent6 4 3" xfId="936" xr:uid="{00000000-0005-0000-0000-00008B020000}"/>
    <cellStyle name="60% - Accent6 4 4" xfId="6490" xr:uid="{00000000-0005-0000-0000-00008C020000}"/>
    <cellStyle name="60% - Accent6 5" xfId="493" xr:uid="{00000000-0005-0000-0000-00008D020000}"/>
    <cellStyle name="60% - Accent6 6" xfId="490" xr:uid="{00000000-0005-0000-0000-00008E020000}"/>
    <cellStyle name="60% - 강조색1" xfId="937" xr:uid="{00000000-0005-0000-0000-00008F020000}"/>
    <cellStyle name="60% - 강조색1 2" xfId="938" xr:uid="{00000000-0005-0000-0000-000090020000}"/>
    <cellStyle name="60% - 강조색1 2 2" xfId="4978" xr:uid="{00000000-0005-0000-0000-000091020000}"/>
    <cellStyle name="60% - 강조색1 3" xfId="4977" xr:uid="{00000000-0005-0000-0000-000092020000}"/>
    <cellStyle name="60% - 강조색2" xfId="939" xr:uid="{00000000-0005-0000-0000-000093020000}"/>
    <cellStyle name="60% - 강조색2 2" xfId="940" xr:uid="{00000000-0005-0000-0000-000094020000}"/>
    <cellStyle name="60% - 강조색2 2 2" xfId="4980" xr:uid="{00000000-0005-0000-0000-000095020000}"/>
    <cellStyle name="60% - 강조색2 3" xfId="4979" xr:uid="{00000000-0005-0000-0000-000096020000}"/>
    <cellStyle name="60% - 강조색3" xfId="941" xr:uid="{00000000-0005-0000-0000-000097020000}"/>
    <cellStyle name="60% - 강조색3 2" xfId="942" xr:uid="{00000000-0005-0000-0000-000098020000}"/>
    <cellStyle name="60% - 강조색3 2 2" xfId="4982" xr:uid="{00000000-0005-0000-0000-000099020000}"/>
    <cellStyle name="60% - 강조색3 3" xfId="4981" xr:uid="{00000000-0005-0000-0000-00009A020000}"/>
    <cellStyle name="60% - 강조색4" xfId="943" xr:uid="{00000000-0005-0000-0000-00009B020000}"/>
    <cellStyle name="60% - 강조색4 2" xfId="944" xr:uid="{00000000-0005-0000-0000-00009C020000}"/>
    <cellStyle name="60% - 강조색4 2 2" xfId="4984" xr:uid="{00000000-0005-0000-0000-00009D020000}"/>
    <cellStyle name="60% - 강조색4 3" xfId="4983" xr:uid="{00000000-0005-0000-0000-00009E020000}"/>
    <cellStyle name="60% - 강조색5" xfId="945" xr:uid="{00000000-0005-0000-0000-00009F020000}"/>
    <cellStyle name="60% - 강조색5 2" xfId="946" xr:uid="{00000000-0005-0000-0000-0000A0020000}"/>
    <cellStyle name="60% - 강조색5 2 2" xfId="4986" xr:uid="{00000000-0005-0000-0000-0000A1020000}"/>
    <cellStyle name="60% - 강조색5 3" xfId="4985" xr:uid="{00000000-0005-0000-0000-0000A2020000}"/>
    <cellStyle name="60% - 강조색6" xfId="947" xr:uid="{00000000-0005-0000-0000-0000A3020000}"/>
    <cellStyle name="60% - 강조색6 2" xfId="948" xr:uid="{00000000-0005-0000-0000-0000A4020000}"/>
    <cellStyle name="60% - 강조색6 2 2" xfId="4988" xr:uid="{00000000-0005-0000-0000-0000A5020000}"/>
    <cellStyle name="60% - 강조색6 3" xfId="4987" xr:uid="{00000000-0005-0000-0000-0000A6020000}"/>
    <cellStyle name="60% - 强调文字颜色 1" xfId="949" xr:uid="{00000000-0005-0000-0000-0000A7020000}"/>
    <cellStyle name="60% - 强调文字颜色 1 2" xfId="950" xr:uid="{00000000-0005-0000-0000-0000A8020000}"/>
    <cellStyle name="60% - 强调文字颜色 1 2 2" xfId="4990" xr:uid="{00000000-0005-0000-0000-0000A9020000}"/>
    <cellStyle name="60% - 强调文字颜色 1 3" xfId="4989" xr:uid="{00000000-0005-0000-0000-0000AA020000}"/>
    <cellStyle name="60% - 强调文字颜色 2" xfId="951" xr:uid="{00000000-0005-0000-0000-0000AB020000}"/>
    <cellStyle name="60% - 强调文字颜色 2 2" xfId="952" xr:uid="{00000000-0005-0000-0000-0000AC020000}"/>
    <cellStyle name="60% - 强调文字颜色 2 2 2" xfId="4992" xr:uid="{00000000-0005-0000-0000-0000AD020000}"/>
    <cellStyle name="60% - 强调文字颜色 2 3" xfId="4991" xr:uid="{00000000-0005-0000-0000-0000AE020000}"/>
    <cellStyle name="60% - 强调文字颜色 3" xfId="953" xr:uid="{00000000-0005-0000-0000-0000AF020000}"/>
    <cellStyle name="60% - 强调文字颜色 3 2" xfId="954" xr:uid="{00000000-0005-0000-0000-0000B0020000}"/>
    <cellStyle name="60% - 强调文字颜色 3 2 2" xfId="4994" xr:uid="{00000000-0005-0000-0000-0000B1020000}"/>
    <cellStyle name="60% - 强调文字颜色 3 3" xfId="4993" xr:uid="{00000000-0005-0000-0000-0000B2020000}"/>
    <cellStyle name="60% - 强调文字颜色 4" xfId="955" xr:uid="{00000000-0005-0000-0000-0000B3020000}"/>
    <cellStyle name="60% - 强调文字颜色 4 2" xfId="956" xr:uid="{00000000-0005-0000-0000-0000B4020000}"/>
    <cellStyle name="60% - 强调文字颜色 4 2 2" xfId="4996" xr:uid="{00000000-0005-0000-0000-0000B5020000}"/>
    <cellStyle name="60% - 强调文字颜色 4 3" xfId="4995" xr:uid="{00000000-0005-0000-0000-0000B6020000}"/>
    <cellStyle name="60% - 强调文字颜色 5" xfId="957" xr:uid="{00000000-0005-0000-0000-0000B7020000}"/>
    <cellStyle name="60% - 强调文字颜色 5 2" xfId="958" xr:uid="{00000000-0005-0000-0000-0000B8020000}"/>
    <cellStyle name="60% - 强调文字颜色 5 2 2" xfId="4998" xr:uid="{00000000-0005-0000-0000-0000B9020000}"/>
    <cellStyle name="60% - 强调文字颜色 5 3" xfId="4997" xr:uid="{00000000-0005-0000-0000-0000BA020000}"/>
    <cellStyle name="60% - 强调文字颜色 6" xfId="959" xr:uid="{00000000-0005-0000-0000-0000BB020000}"/>
    <cellStyle name="60% - 强调文字颜色 6 2" xfId="960" xr:uid="{00000000-0005-0000-0000-0000BC020000}"/>
    <cellStyle name="60% - 强调文字颜色 6 2 2" xfId="5000" xr:uid="{00000000-0005-0000-0000-0000BD020000}"/>
    <cellStyle name="60% - 强调文字颜色 6 3" xfId="4999" xr:uid="{00000000-0005-0000-0000-0000BE020000}"/>
    <cellStyle name="Accent1" xfId="55" builtinId="29" customBuiltin="1"/>
    <cellStyle name="Accent1 2" xfId="56" xr:uid="{00000000-0005-0000-0000-0000C0020000}"/>
    <cellStyle name="Accent1 2 10" xfId="57" xr:uid="{00000000-0005-0000-0000-0000C1020000}"/>
    <cellStyle name="Accent1 2 10 2" xfId="5002" xr:uid="{00000000-0005-0000-0000-0000C2020000}"/>
    <cellStyle name="Accent1 2 11" xfId="58" xr:uid="{00000000-0005-0000-0000-0000C3020000}"/>
    <cellStyle name="Accent1 2 11 2" xfId="5003" xr:uid="{00000000-0005-0000-0000-0000C4020000}"/>
    <cellStyle name="Accent1 2 12" xfId="59" xr:uid="{00000000-0005-0000-0000-0000C5020000}"/>
    <cellStyle name="Accent1 2 12 2" xfId="5004" xr:uid="{00000000-0005-0000-0000-0000C6020000}"/>
    <cellStyle name="Accent1 2 13" xfId="60" xr:uid="{00000000-0005-0000-0000-0000C7020000}"/>
    <cellStyle name="Accent1 2 13 2" xfId="5005" xr:uid="{00000000-0005-0000-0000-0000C8020000}"/>
    <cellStyle name="Accent1 2 14" xfId="61" xr:uid="{00000000-0005-0000-0000-0000C9020000}"/>
    <cellStyle name="Accent1 2 14 2" xfId="5006" xr:uid="{00000000-0005-0000-0000-0000CA020000}"/>
    <cellStyle name="Accent1 2 15" xfId="62" xr:uid="{00000000-0005-0000-0000-0000CB020000}"/>
    <cellStyle name="Accent1 2 15 2" xfId="5007" xr:uid="{00000000-0005-0000-0000-0000CC020000}"/>
    <cellStyle name="Accent1 2 16" xfId="63" xr:uid="{00000000-0005-0000-0000-0000CD020000}"/>
    <cellStyle name="Accent1 2 16 2" xfId="5008" xr:uid="{00000000-0005-0000-0000-0000CE020000}"/>
    <cellStyle name="Accent1 2 17" xfId="64" xr:uid="{00000000-0005-0000-0000-0000CF020000}"/>
    <cellStyle name="Accent1 2 17 2" xfId="5009" xr:uid="{00000000-0005-0000-0000-0000D0020000}"/>
    <cellStyle name="Accent1 2 18" xfId="65" xr:uid="{00000000-0005-0000-0000-0000D1020000}"/>
    <cellStyle name="Accent1 2 18 2" xfId="5010" xr:uid="{00000000-0005-0000-0000-0000D2020000}"/>
    <cellStyle name="Accent1 2 19" xfId="66" xr:uid="{00000000-0005-0000-0000-0000D3020000}"/>
    <cellStyle name="Accent1 2 19 2" xfId="5011" xr:uid="{00000000-0005-0000-0000-0000D4020000}"/>
    <cellStyle name="Accent1 2 2" xfId="67" xr:uid="{00000000-0005-0000-0000-0000D5020000}"/>
    <cellStyle name="Accent1 2 2 10" xfId="68" xr:uid="{00000000-0005-0000-0000-0000D6020000}"/>
    <cellStyle name="Accent1 2 2 10 2" xfId="5012" xr:uid="{00000000-0005-0000-0000-0000D7020000}"/>
    <cellStyle name="Accent1 2 2 11" xfId="69" xr:uid="{00000000-0005-0000-0000-0000D8020000}"/>
    <cellStyle name="Accent1 2 2 11 2" xfId="5013" xr:uid="{00000000-0005-0000-0000-0000D9020000}"/>
    <cellStyle name="Accent1 2 2 12" xfId="70" xr:uid="{00000000-0005-0000-0000-0000DA020000}"/>
    <cellStyle name="Accent1 2 2 12 2" xfId="5014" xr:uid="{00000000-0005-0000-0000-0000DB020000}"/>
    <cellStyle name="Accent1 2 2 13" xfId="71" xr:uid="{00000000-0005-0000-0000-0000DC020000}"/>
    <cellStyle name="Accent1 2 2 13 2" xfId="5015" xr:uid="{00000000-0005-0000-0000-0000DD020000}"/>
    <cellStyle name="Accent1 2 2 14" xfId="72" xr:uid="{00000000-0005-0000-0000-0000DE020000}"/>
    <cellStyle name="Accent1 2 2 14 2" xfId="5016" xr:uid="{00000000-0005-0000-0000-0000DF020000}"/>
    <cellStyle name="Accent1 2 2 15" xfId="73" xr:uid="{00000000-0005-0000-0000-0000E0020000}"/>
    <cellStyle name="Accent1 2 2 15 2" xfId="5017" xr:uid="{00000000-0005-0000-0000-0000E1020000}"/>
    <cellStyle name="Accent1 2 2 16" xfId="74" xr:uid="{00000000-0005-0000-0000-0000E2020000}"/>
    <cellStyle name="Accent1 2 2 16 2" xfId="5018" xr:uid="{00000000-0005-0000-0000-0000E3020000}"/>
    <cellStyle name="Accent1 2 2 17" xfId="75" xr:uid="{00000000-0005-0000-0000-0000E4020000}"/>
    <cellStyle name="Accent1 2 2 17 2" xfId="5019" xr:uid="{00000000-0005-0000-0000-0000E5020000}"/>
    <cellStyle name="Accent1 2 2 18" xfId="76" xr:uid="{00000000-0005-0000-0000-0000E6020000}"/>
    <cellStyle name="Accent1 2 2 18 2" xfId="5020" xr:uid="{00000000-0005-0000-0000-0000E7020000}"/>
    <cellStyle name="Accent1 2 2 19" xfId="77" xr:uid="{00000000-0005-0000-0000-0000E8020000}"/>
    <cellStyle name="Accent1 2 2 19 2" xfId="5021" xr:uid="{00000000-0005-0000-0000-0000E9020000}"/>
    <cellStyle name="Accent1 2 2 2" xfId="78" xr:uid="{00000000-0005-0000-0000-0000EA020000}"/>
    <cellStyle name="Accent1 2 2 2 2" xfId="495" xr:uid="{00000000-0005-0000-0000-0000EB020000}"/>
    <cellStyle name="Accent1 2 2 2 2 2" xfId="5023" xr:uid="{00000000-0005-0000-0000-0000EC020000}"/>
    <cellStyle name="Accent1 2 2 2 2 3" xfId="5022" xr:uid="{00000000-0005-0000-0000-0000ED020000}"/>
    <cellStyle name="Accent1 2 2 2 3" xfId="496" xr:uid="{00000000-0005-0000-0000-0000EE020000}"/>
    <cellStyle name="Accent1 2 2 2 4" xfId="497" xr:uid="{00000000-0005-0000-0000-0000EF020000}"/>
    <cellStyle name="Accent1 2 2 2 5" xfId="498" xr:uid="{00000000-0005-0000-0000-0000F0020000}"/>
    <cellStyle name="Accent1 2 2 20" xfId="79" xr:uid="{00000000-0005-0000-0000-0000F1020000}"/>
    <cellStyle name="Accent1 2 2 20 2" xfId="5024" xr:uid="{00000000-0005-0000-0000-0000F2020000}"/>
    <cellStyle name="Accent1 2 2 21" xfId="80" xr:uid="{00000000-0005-0000-0000-0000F3020000}"/>
    <cellStyle name="Accent1 2 2 21 2" xfId="5025" xr:uid="{00000000-0005-0000-0000-0000F4020000}"/>
    <cellStyle name="Accent1 2 2 22" xfId="81" xr:uid="{00000000-0005-0000-0000-0000F5020000}"/>
    <cellStyle name="Accent1 2 2 22 2" xfId="5026" xr:uid="{00000000-0005-0000-0000-0000F6020000}"/>
    <cellStyle name="Accent1 2 2 23" xfId="961" xr:uid="{00000000-0005-0000-0000-0000F7020000}"/>
    <cellStyle name="Accent1 2 2 23 2" xfId="962" xr:uid="{00000000-0005-0000-0000-0000F8020000}"/>
    <cellStyle name="Accent1 2 2 23 2 2" xfId="963" xr:uid="{00000000-0005-0000-0000-0000F9020000}"/>
    <cellStyle name="Accent1 2 2 23 3" xfId="5027" xr:uid="{00000000-0005-0000-0000-0000FA020000}"/>
    <cellStyle name="Accent1 2 2 24" xfId="964" xr:uid="{00000000-0005-0000-0000-0000FB020000}"/>
    <cellStyle name="Accent1 2 2 24 2" xfId="5028" xr:uid="{00000000-0005-0000-0000-0000FC020000}"/>
    <cellStyle name="Accent1 2 2 25" xfId="965" xr:uid="{00000000-0005-0000-0000-0000FD020000}"/>
    <cellStyle name="Accent1 2 2 25 2" xfId="5029" xr:uid="{00000000-0005-0000-0000-0000FE020000}"/>
    <cellStyle name="Accent1 2 2 26" xfId="966" xr:uid="{00000000-0005-0000-0000-0000FF020000}"/>
    <cellStyle name="Accent1 2 2 26 2" xfId="5030" xr:uid="{00000000-0005-0000-0000-000000030000}"/>
    <cellStyle name="Accent1 2 2 27" xfId="967" xr:uid="{00000000-0005-0000-0000-000001030000}"/>
    <cellStyle name="Accent1 2 2 27 2" xfId="5031" xr:uid="{00000000-0005-0000-0000-000002030000}"/>
    <cellStyle name="Accent1 2 2 28" xfId="968" xr:uid="{00000000-0005-0000-0000-000003030000}"/>
    <cellStyle name="Accent1 2 2 28 2" xfId="5032" xr:uid="{00000000-0005-0000-0000-000004030000}"/>
    <cellStyle name="Accent1 2 2 29" xfId="969" xr:uid="{00000000-0005-0000-0000-000005030000}"/>
    <cellStyle name="Accent1 2 2 29 2" xfId="5033" xr:uid="{00000000-0005-0000-0000-000006030000}"/>
    <cellStyle name="Accent1 2 2 3" xfId="82" xr:uid="{00000000-0005-0000-0000-000007030000}"/>
    <cellStyle name="Accent1 2 2 3 2" xfId="970" xr:uid="{00000000-0005-0000-0000-000008030000}"/>
    <cellStyle name="Accent1 2 2 3 2 2" xfId="5034" xr:uid="{00000000-0005-0000-0000-000009030000}"/>
    <cellStyle name="Accent1 2 2 3 3" xfId="971" xr:uid="{00000000-0005-0000-0000-00000A030000}"/>
    <cellStyle name="Accent1 2 2 3 3 2" xfId="5035" xr:uid="{00000000-0005-0000-0000-00000B030000}"/>
    <cellStyle name="Accent1 2 2 30" xfId="972" xr:uid="{00000000-0005-0000-0000-00000C030000}"/>
    <cellStyle name="Accent1 2 2 30 2" xfId="5036" xr:uid="{00000000-0005-0000-0000-00000D030000}"/>
    <cellStyle name="Accent1 2 2 31" xfId="973" xr:uid="{00000000-0005-0000-0000-00000E030000}"/>
    <cellStyle name="Accent1 2 2 31 2" xfId="5037" xr:uid="{00000000-0005-0000-0000-00000F030000}"/>
    <cellStyle name="Accent1 2 2 32" xfId="5038" xr:uid="{00000000-0005-0000-0000-000010030000}"/>
    <cellStyle name="Accent1 2 2 4" xfId="83" xr:uid="{00000000-0005-0000-0000-000011030000}"/>
    <cellStyle name="Accent1 2 2 4 2" xfId="974" xr:uid="{00000000-0005-0000-0000-000012030000}"/>
    <cellStyle name="Accent1 2 2 4 2 2" xfId="5039" xr:uid="{00000000-0005-0000-0000-000013030000}"/>
    <cellStyle name="Accent1 2 2 4 3" xfId="975" xr:uid="{00000000-0005-0000-0000-000014030000}"/>
    <cellStyle name="Accent1 2 2 4 3 2" xfId="5040" xr:uid="{00000000-0005-0000-0000-000015030000}"/>
    <cellStyle name="Accent1 2 2 5" xfId="84" xr:uid="{00000000-0005-0000-0000-000016030000}"/>
    <cellStyle name="Accent1 2 2 5 2" xfId="5041" xr:uid="{00000000-0005-0000-0000-000017030000}"/>
    <cellStyle name="Accent1 2 2 6" xfId="85" xr:uid="{00000000-0005-0000-0000-000018030000}"/>
    <cellStyle name="Accent1 2 2 6 2" xfId="5042" xr:uid="{00000000-0005-0000-0000-000019030000}"/>
    <cellStyle name="Accent1 2 2 7" xfId="86" xr:uid="{00000000-0005-0000-0000-00001A030000}"/>
    <cellStyle name="Accent1 2 2 7 2" xfId="5043" xr:uid="{00000000-0005-0000-0000-00001B030000}"/>
    <cellStyle name="Accent1 2 2 8" xfId="87" xr:uid="{00000000-0005-0000-0000-00001C030000}"/>
    <cellStyle name="Accent1 2 2 8 2" xfId="5044" xr:uid="{00000000-0005-0000-0000-00001D030000}"/>
    <cellStyle name="Accent1 2 2 9" xfId="88" xr:uid="{00000000-0005-0000-0000-00001E030000}"/>
    <cellStyle name="Accent1 2 2 9 2" xfId="5045" xr:uid="{00000000-0005-0000-0000-00001F030000}"/>
    <cellStyle name="Accent1 2 20" xfId="89" xr:uid="{00000000-0005-0000-0000-000020030000}"/>
    <cellStyle name="Accent1 2 20 2" xfId="5046" xr:uid="{00000000-0005-0000-0000-000021030000}"/>
    <cellStyle name="Accent1 2 21" xfId="90" xr:uid="{00000000-0005-0000-0000-000022030000}"/>
    <cellStyle name="Accent1 2 21 2" xfId="5047" xr:uid="{00000000-0005-0000-0000-000023030000}"/>
    <cellStyle name="Accent1 2 22" xfId="91" xr:uid="{00000000-0005-0000-0000-000024030000}"/>
    <cellStyle name="Accent1 2 22 2" xfId="5048" xr:uid="{00000000-0005-0000-0000-000025030000}"/>
    <cellStyle name="Accent1 2 23" xfId="976" xr:uid="{00000000-0005-0000-0000-000026030000}"/>
    <cellStyle name="Accent1 2 23 2" xfId="977" xr:uid="{00000000-0005-0000-0000-000027030000}"/>
    <cellStyle name="Accent1 2 23 2 2" xfId="978" xr:uid="{00000000-0005-0000-0000-000028030000}"/>
    <cellStyle name="Accent1 2 23 3" xfId="5049" xr:uid="{00000000-0005-0000-0000-000029030000}"/>
    <cellStyle name="Accent1 2 24" xfId="979" xr:uid="{00000000-0005-0000-0000-00002A030000}"/>
    <cellStyle name="Accent1 2 24 2" xfId="980" xr:uid="{00000000-0005-0000-0000-00002B030000}"/>
    <cellStyle name="Accent1 2 24 3" xfId="5050" xr:uid="{00000000-0005-0000-0000-00002C030000}"/>
    <cellStyle name="Accent1 2 25" xfId="981" xr:uid="{00000000-0005-0000-0000-00002D030000}"/>
    <cellStyle name="Accent1 2 25 2" xfId="5051" xr:uid="{00000000-0005-0000-0000-00002E030000}"/>
    <cellStyle name="Accent1 2 26" xfId="982" xr:uid="{00000000-0005-0000-0000-00002F030000}"/>
    <cellStyle name="Accent1 2 26 2" xfId="5052" xr:uid="{00000000-0005-0000-0000-000030030000}"/>
    <cellStyle name="Accent1 2 27" xfId="983" xr:uid="{00000000-0005-0000-0000-000031030000}"/>
    <cellStyle name="Accent1 2 27 2" xfId="5053" xr:uid="{00000000-0005-0000-0000-000032030000}"/>
    <cellStyle name="Accent1 2 28" xfId="984" xr:uid="{00000000-0005-0000-0000-000033030000}"/>
    <cellStyle name="Accent1 2 28 2" xfId="5054" xr:uid="{00000000-0005-0000-0000-000034030000}"/>
    <cellStyle name="Accent1 2 29" xfId="985" xr:uid="{00000000-0005-0000-0000-000035030000}"/>
    <cellStyle name="Accent1 2 29 2" xfId="5055" xr:uid="{00000000-0005-0000-0000-000036030000}"/>
    <cellStyle name="Accent1 2 3" xfId="92" xr:uid="{00000000-0005-0000-0000-000037030000}"/>
    <cellStyle name="Accent1 2 3 2" xfId="986" xr:uid="{00000000-0005-0000-0000-000038030000}"/>
    <cellStyle name="Accent1 2 3 2 2" xfId="5056" xr:uid="{00000000-0005-0000-0000-000039030000}"/>
    <cellStyle name="Accent1 2 3 3" xfId="5057" xr:uid="{00000000-0005-0000-0000-00003A030000}"/>
    <cellStyle name="Accent1 2 30" xfId="987" xr:uid="{00000000-0005-0000-0000-00003B030000}"/>
    <cellStyle name="Accent1 2 30 2" xfId="5058" xr:uid="{00000000-0005-0000-0000-00003C030000}"/>
    <cellStyle name="Accent1 2 31" xfId="988" xr:uid="{00000000-0005-0000-0000-00003D030000}"/>
    <cellStyle name="Accent1 2 31 2" xfId="5059" xr:uid="{00000000-0005-0000-0000-00003E030000}"/>
    <cellStyle name="Accent1 2 32" xfId="5060" xr:uid="{00000000-0005-0000-0000-00003F030000}"/>
    <cellStyle name="Accent1 2 4" xfId="93" xr:uid="{00000000-0005-0000-0000-000040030000}"/>
    <cellStyle name="Accent1 2 4 2" xfId="989" xr:uid="{00000000-0005-0000-0000-000041030000}"/>
    <cellStyle name="Accent1 2 4 2 2" xfId="5061" xr:uid="{00000000-0005-0000-0000-000042030000}"/>
    <cellStyle name="Accent1 2 4 3" xfId="990" xr:uid="{00000000-0005-0000-0000-000043030000}"/>
    <cellStyle name="Accent1 2 4 3 2" xfId="5062" xr:uid="{00000000-0005-0000-0000-000044030000}"/>
    <cellStyle name="Accent1 2 5" xfId="94" xr:uid="{00000000-0005-0000-0000-000045030000}"/>
    <cellStyle name="Accent1 2 5 2" xfId="5063" xr:uid="{00000000-0005-0000-0000-000046030000}"/>
    <cellStyle name="Accent1 2 6" xfId="95" xr:uid="{00000000-0005-0000-0000-000047030000}"/>
    <cellStyle name="Accent1 2 6 2" xfId="5064" xr:uid="{00000000-0005-0000-0000-000048030000}"/>
    <cellStyle name="Accent1 2 7" xfId="96" xr:uid="{00000000-0005-0000-0000-000049030000}"/>
    <cellStyle name="Accent1 2 7 2" xfId="5065" xr:uid="{00000000-0005-0000-0000-00004A030000}"/>
    <cellStyle name="Accent1 2 8" xfId="97" xr:uid="{00000000-0005-0000-0000-00004B030000}"/>
    <cellStyle name="Accent1 2 8 2" xfId="5066" xr:uid="{00000000-0005-0000-0000-00004C030000}"/>
    <cellStyle name="Accent1 2 9" xfId="98" xr:uid="{00000000-0005-0000-0000-00004D030000}"/>
    <cellStyle name="Accent1 2 9 2" xfId="5067" xr:uid="{00000000-0005-0000-0000-00004E030000}"/>
    <cellStyle name="Accent1 3" xfId="99" xr:uid="{00000000-0005-0000-0000-00004F030000}"/>
    <cellStyle name="Accent1 3 2" xfId="991" xr:uid="{00000000-0005-0000-0000-000050030000}"/>
    <cellStyle name="Accent1 3 2 2" xfId="5068" xr:uid="{00000000-0005-0000-0000-000051030000}"/>
    <cellStyle name="Accent1 3 3" xfId="5069" xr:uid="{00000000-0005-0000-0000-000052030000}"/>
    <cellStyle name="Accent1 4" xfId="499" xr:uid="{00000000-0005-0000-0000-000053030000}"/>
    <cellStyle name="Accent1 4 2" xfId="992" xr:uid="{00000000-0005-0000-0000-000054030000}"/>
    <cellStyle name="Accent1 4 2 2" xfId="5070" xr:uid="{00000000-0005-0000-0000-000055030000}"/>
    <cellStyle name="Accent1 4 3" xfId="5071" xr:uid="{00000000-0005-0000-0000-000056030000}"/>
    <cellStyle name="Accent1 5" xfId="494" xr:uid="{00000000-0005-0000-0000-000057030000}"/>
    <cellStyle name="Accent1 5 2" xfId="5072" xr:uid="{00000000-0005-0000-0000-000058030000}"/>
    <cellStyle name="Accent1 6" xfId="5001" xr:uid="{00000000-0005-0000-0000-000059030000}"/>
    <cellStyle name="Accent2" xfId="100" builtinId="33" customBuiltin="1"/>
    <cellStyle name="Accent2 2" xfId="101" xr:uid="{00000000-0005-0000-0000-00005B030000}"/>
    <cellStyle name="Accent2 2 2" xfId="501" xr:uid="{00000000-0005-0000-0000-00005C030000}"/>
    <cellStyle name="Accent2 2 2 2" xfId="994" xr:uid="{00000000-0005-0000-0000-00005D030000}"/>
    <cellStyle name="Accent2 2 2 3" xfId="995" xr:uid="{00000000-0005-0000-0000-00005E030000}"/>
    <cellStyle name="Accent2 2 2 4" xfId="996" xr:uid="{00000000-0005-0000-0000-00005F030000}"/>
    <cellStyle name="Accent2 2 2 5" xfId="993" xr:uid="{00000000-0005-0000-0000-000060030000}"/>
    <cellStyle name="Accent2 2 2 6" xfId="5073" xr:uid="{00000000-0005-0000-0000-000061030000}"/>
    <cellStyle name="Accent2 2 3" xfId="5074" xr:uid="{00000000-0005-0000-0000-000062030000}"/>
    <cellStyle name="Accent2 3" xfId="102" xr:uid="{00000000-0005-0000-0000-000063030000}"/>
    <cellStyle name="Accent2 3 2" xfId="997" xr:uid="{00000000-0005-0000-0000-000064030000}"/>
    <cellStyle name="Accent2 3 2 2" xfId="5075" xr:uid="{00000000-0005-0000-0000-000065030000}"/>
    <cellStyle name="Accent2 3 3" xfId="5076" xr:uid="{00000000-0005-0000-0000-000066030000}"/>
    <cellStyle name="Accent2 4" xfId="502" xr:uid="{00000000-0005-0000-0000-000067030000}"/>
    <cellStyle name="Accent2 4 2" xfId="998" xr:uid="{00000000-0005-0000-0000-000068030000}"/>
    <cellStyle name="Accent2 4 2 2" xfId="5077" xr:uid="{00000000-0005-0000-0000-000069030000}"/>
    <cellStyle name="Accent2 4 3" xfId="999" xr:uid="{00000000-0005-0000-0000-00006A030000}"/>
    <cellStyle name="Accent2 4 4" xfId="6458" xr:uid="{00000000-0005-0000-0000-00006B030000}"/>
    <cellStyle name="Accent2 5" xfId="503" xr:uid="{00000000-0005-0000-0000-00006C030000}"/>
    <cellStyle name="Accent2 6" xfId="500" xr:uid="{00000000-0005-0000-0000-00006D030000}"/>
    <cellStyle name="Accent3" xfId="103" builtinId="37" customBuiltin="1"/>
    <cellStyle name="Accent3 2" xfId="104" xr:uid="{00000000-0005-0000-0000-00006F030000}"/>
    <cellStyle name="Accent3 2 2" xfId="505" xr:uid="{00000000-0005-0000-0000-000070030000}"/>
    <cellStyle name="Accent3 2 2 2" xfId="1001" xr:uid="{00000000-0005-0000-0000-000071030000}"/>
    <cellStyle name="Accent3 2 2 2 2" xfId="1002" xr:uid="{00000000-0005-0000-0000-000072030000}"/>
    <cellStyle name="Accent3 2 2 2 2 2" xfId="5081" xr:uid="{00000000-0005-0000-0000-000073030000}"/>
    <cellStyle name="Accent3 2 2 2 3" xfId="1003" xr:uid="{00000000-0005-0000-0000-000074030000}"/>
    <cellStyle name="Accent3 2 2 2 4" xfId="5080" xr:uid="{00000000-0005-0000-0000-000075030000}"/>
    <cellStyle name="Accent3 2 2 3" xfId="1004" xr:uid="{00000000-0005-0000-0000-000076030000}"/>
    <cellStyle name="Accent3 2 2 3 2" xfId="5082" xr:uid="{00000000-0005-0000-0000-000077030000}"/>
    <cellStyle name="Accent3 2 2 4" xfId="1000" xr:uid="{00000000-0005-0000-0000-000078030000}"/>
    <cellStyle name="Accent3 2 2 5" xfId="5079" xr:uid="{00000000-0005-0000-0000-000079030000}"/>
    <cellStyle name="Accent3 2 3" xfId="1005" xr:uid="{00000000-0005-0000-0000-00007A030000}"/>
    <cellStyle name="Accent3 2 3 2" xfId="1006" xr:uid="{00000000-0005-0000-0000-00007B030000}"/>
    <cellStyle name="Accent3 2 3 2 2" xfId="5084" xr:uid="{00000000-0005-0000-0000-00007C030000}"/>
    <cellStyle name="Accent3 2 3 3" xfId="5083" xr:uid="{00000000-0005-0000-0000-00007D030000}"/>
    <cellStyle name="Accent3 2 4" xfId="1007" xr:uid="{00000000-0005-0000-0000-00007E030000}"/>
    <cellStyle name="Accent3 2 4 2" xfId="5085" xr:uid="{00000000-0005-0000-0000-00007F030000}"/>
    <cellStyle name="Accent3 2 5" xfId="1008" xr:uid="{00000000-0005-0000-0000-000080030000}"/>
    <cellStyle name="Accent3 2 5 2" xfId="5086" xr:uid="{00000000-0005-0000-0000-000081030000}"/>
    <cellStyle name="Accent3 3" xfId="105" xr:uid="{00000000-0005-0000-0000-000082030000}"/>
    <cellStyle name="Accent3 3 2" xfId="1009" xr:uid="{00000000-0005-0000-0000-000083030000}"/>
    <cellStyle name="Accent3 3 2 2" xfId="5087" xr:uid="{00000000-0005-0000-0000-000084030000}"/>
    <cellStyle name="Accent3 3 3" xfId="5088" xr:uid="{00000000-0005-0000-0000-000085030000}"/>
    <cellStyle name="Accent3 4" xfId="506" xr:uid="{00000000-0005-0000-0000-000086030000}"/>
    <cellStyle name="Accent3 4 2" xfId="1011" xr:uid="{00000000-0005-0000-0000-000087030000}"/>
    <cellStyle name="Accent3 4 2 2" xfId="1012" xr:uid="{00000000-0005-0000-0000-000088030000}"/>
    <cellStyle name="Accent3 4 2 3" xfId="1013" xr:uid="{00000000-0005-0000-0000-000089030000}"/>
    <cellStyle name="Accent3 4 2 4" xfId="5089" xr:uid="{00000000-0005-0000-0000-00008A030000}"/>
    <cellStyle name="Accent3 4 3" xfId="1014" xr:uid="{00000000-0005-0000-0000-00008B030000}"/>
    <cellStyle name="Accent3 4 3 2" xfId="5090" xr:uid="{00000000-0005-0000-0000-00008C030000}"/>
    <cellStyle name="Accent3 4 4" xfId="1015" xr:uid="{00000000-0005-0000-0000-00008D030000}"/>
    <cellStyle name="Accent3 4 5" xfId="1010" xr:uid="{00000000-0005-0000-0000-00008E030000}"/>
    <cellStyle name="Accent3 4 6" xfId="6498" xr:uid="{00000000-0005-0000-0000-00008F030000}"/>
    <cellStyle name="Accent3 5" xfId="507" xr:uid="{00000000-0005-0000-0000-000090030000}"/>
    <cellStyle name="Accent3 5 2" xfId="1017" xr:uid="{00000000-0005-0000-0000-000091030000}"/>
    <cellStyle name="Accent3 5 2 2" xfId="1018" xr:uid="{00000000-0005-0000-0000-000092030000}"/>
    <cellStyle name="Accent3 5 3" xfId="1019" xr:uid="{00000000-0005-0000-0000-000093030000}"/>
    <cellStyle name="Accent3 5 4" xfId="1016" xr:uid="{00000000-0005-0000-0000-000094030000}"/>
    <cellStyle name="Accent3 5 5" xfId="5091" xr:uid="{00000000-0005-0000-0000-000095030000}"/>
    <cellStyle name="Accent3 6" xfId="504" xr:uid="{00000000-0005-0000-0000-000096030000}"/>
    <cellStyle name="Accent3 6 2" xfId="5092" xr:uid="{00000000-0005-0000-0000-000097030000}"/>
    <cellStyle name="Accent3 7" xfId="5078" xr:uid="{00000000-0005-0000-0000-000098030000}"/>
    <cellStyle name="Accent4" xfId="106" builtinId="41" customBuiltin="1"/>
    <cellStyle name="Accent4 2" xfId="107" xr:uid="{00000000-0005-0000-0000-00009A030000}"/>
    <cellStyle name="Accent4 2 2" xfId="509" xr:uid="{00000000-0005-0000-0000-00009B030000}"/>
    <cellStyle name="Accent4 2 2 2" xfId="1021" xr:uid="{00000000-0005-0000-0000-00009C030000}"/>
    <cellStyle name="Accent4 2 2 3" xfId="1022" xr:uid="{00000000-0005-0000-0000-00009D030000}"/>
    <cellStyle name="Accent4 2 2 4" xfId="1023" xr:uid="{00000000-0005-0000-0000-00009E030000}"/>
    <cellStyle name="Accent4 2 2 5" xfId="1020" xr:uid="{00000000-0005-0000-0000-00009F030000}"/>
    <cellStyle name="Accent4 2 2 6" xfId="5093" xr:uid="{00000000-0005-0000-0000-0000A0030000}"/>
    <cellStyle name="Accent4 2 3" xfId="5094" xr:uid="{00000000-0005-0000-0000-0000A1030000}"/>
    <cellStyle name="Accent4 3" xfId="108" xr:uid="{00000000-0005-0000-0000-0000A2030000}"/>
    <cellStyle name="Accent4 3 2" xfId="1024" xr:uid="{00000000-0005-0000-0000-0000A3030000}"/>
    <cellStyle name="Accent4 3 2 2" xfId="5095" xr:uid="{00000000-0005-0000-0000-0000A4030000}"/>
    <cellStyle name="Accent4 3 3" xfId="5096" xr:uid="{00000000-0005-0000-0000-0000A5030000}"/>
    <cellStyle name="Accent4 4" xfId="510" xr:uid="{00000000-0005-0000-0000-0000A6030000}"/>
    <cellStyle name="Accent4 4 2" xfId="1025" xr:uid="{00000000-0005-0000-0000-0000A7030000}"/>
    <cellStyle name="Accent4 4 2 2" xfId="5097" xr:uid="{00000000-0005-0000-0000-0000A8030000}"/>
    <cellStyle name="Accent4 4 3" xfId="1026" xr:uid="{00000000-0005-0000-0000-0000A9030000}"/>
    <cellStyle name="Accent4 4 4" xfId="6497" xr:uid="{00000000-0005-0000-0000-0000AA030000}"/>
    <cellStyle name="Accent4 5" xfId="511" xr:uid="{00000000-0005-0000-0000-0000AB030000}"/>
    <cellStyle name="Accent4 6" xfId="508" xr:uid="{00000000-0005-0000-0000-0000AC030000}"/>
    <cellStyle name="Accent5" xfId="109" builtinId="45" customBuiltin="1"/>
    <cellStyle name="Accent5 2" xfId="110" xr:uid="{00000000-0005-0000-0000-0000AE030000}"/>
    <cellStyle name="Accent5 2 2" xfId="513" xr:uid="{00000000-0005-0000-0000-0000AF030000}"/>
    <cellStyle name="Accent5 2 2 2" xfId="1028" xr:uid="{00000000-0005-0000-0000-0000B0030000}"/>
    <cellStyle name="Accent5 2 2 3" xfId="1029" xr:uid="{00000000-0005-0000-0000-0000B1030000}"/>
    <cellStyle name="Accent5 2 2 4" xfId="1030" xr:uid="{00000000-0005-0000-0000-0000B2030000}"/>
    <cellStyle name="Accent5 2 2 5" xfId="1027" xr:uid="{00000000-0005-0000-0000-0000B3030000}"/>
    <cellStyle name="Accent5 2 2 6" xfId="5098" xr:uid="{00000000-0005-0000-0000-0000B4030000}"/>
    <cellStyle name="Accent5 2 3" xfId="5099" xr:uid="{00000000-0005-0000-0000-0000B5030000}"/>
    <cellStyle name="Accent5 3" xfId="111" xr:uid="{00000000-0005-0000-0000-0000B6030000}"/>
    <cellStyle name="Accent5 3 2" xfId="1031" xr:uid="{00000000-0005-0000-0000-0000B7030000}"/>
    <cellStyle name="Accent5 3 2 2" xfId="5100" xr:uid="{00000000-0005-0000-0000-0000B8030000}"/>
    <cellStyle name="Accent5 3 3" xfId="5101" xr:uid="{00000000-0005-0000-0000-0000B9030000}"/>
    <cellStyle name="Accent5 4" xfId="514" xr:uid="{00000000-0005-0000-0000-0000BA030000}"/>
    <cellStyle name="Accent5 4 2" xfId="1032" xr:uid="{00000000-0005-0000-0000-0000BB030000}"/>
    <cellStyle name="Accent5 4 2 2" xfId="5102" xr:uid="{00000000-0005-0000-0000-0000BC030000}"/>
    <cellStyle name="Accent5 4 3" xfId="1033" xr:uid="{00000000-0005-0000-0000-0000BD030000}"/>
    <cellStyle name="Accent5 4 4" xfId="377" xr:uid="{00000000-0005-0000-0000-0000BE030000}"/>
    <cellStyle name="Accent5 5" xfId="515" xr:uid="{00000000-0005-0000-0000-0000BF030000}"/>
    <cellStyle name="Accent5 6" xfId="512" xr:uid="{00000000-0005-0000-0000-0000C0030000}"/>
    <cellStyle name="Accent6" xfId="112" builtinId="49" customBuiltin="1"/>
    <cellStyle name="Accent6 2" xfId="113" xr:uid="{00000000-0005-0000-0000-0000C2030000}"/>
    <cellStyle name="Accent6 2 10" xfId="114" xr:uid="{00000000-0005-0000-0000-0000C3030000}"/>
    <cellStyle name="Accent6 2 10 2" xfId="5104" xr:uid="{00000000-0005-0000-0000-0000C4030000}"/>
    <cellStyle name="Accent6 2 11" xfId="115" xr:uid="{00000000-0005-0000-0000-0000C5030000}"/>
    <cellStyle name="Accent6 2 11 2" xfId="5105" xr:uid="{00000000-0005-0000-0000-0000C6030000}"/>
    <cellStyle name="Accent6 2 12" xfId="116" xr:uid="{00000000-0005-0000-0000-0000C7030000}"/>
    <cellStyle name="Accent6 2 12 2" xfId="5106" xr:uid="{00000000-0005-0000-0000-0000C8030000}"/>
    <cellStyle name="Accent6 2 13" xfId="117" xr:uid="{00000000-0005-0000-0000-0000C9030000}"/>
    <cellStyle name="Accent6 2 13 2" xfId="5107" xr:uid="{00000000-0005-0000-0000-0000CA030000}"/>
    <cellStyle name="Accent6 2 14" xfId="118" xr:uid="{00000000-0005-0000-0000-0000CB030000}"/>
    <cellStyle name="Accent6 2 14 2" xfId="5108" xr:uid="{00000000-0005-0000-0000-0000CC030000}"/>
    <cellStyle name="Accent6 2 15" xfId="119" xr:uid="{00000000-0005-0000-0000-0000CD030000}"/>
    <cellStyle name="Accent6 2 15 2" xfId="5109" xr:uid="{00000000-0005-0000-0000-0000CE030000}"/>
    <cellStyle name="Accent6 2 16" xfId="120" xr:uid="{00000000-0005-0000-0000-0000CF030000}"/>
    <cellStyle name="Accent6 2 16 2" xfId="5110" xr:uid="{00000000-0005-0000-0000-0000D0030000}"/>
    <cellStyle name="Accent6 2 17" xfId="121" xr:uid="{00000000-0005-0000-0000-0000D1030000}"/>
    <cellStyle name="Accent6 2 17 2" xfId="5111" xr:uid="{00000000-0005-0000-0000-0000D2030000}"/>
    <cellStyle name="Accent6 2 18" xfId="122" xr:uid="{00000000-0005-0000-0000-0000D3030000}"/>
    <cellStyle name="Accent6 2 18 2" xfId="5112" xr:uid="{00000000-0005-0000-0000-0000D4030000}"/>
    <cellStyle name="Accent6 2 19" xfId="123" xr:uid="{00000000-0005-0000-0000-0000D5030000}"/>
    <cellStyle name="Accent6 2 19 2" xfId="5113" xr:uid="{00000000-0005-0000-0000-0000D6030000}"/>
    <cellStyle name="Accent6 2 2" xfId="124" xr:uid="{00000000-0005-0000-0000-0000D7030000}"/>
    <cellStyle name="Accent6 2 2 10" xfId="125" xr:uid="{00000000-0005-0000-0000-0000D8030000}"/>
    <cellStyle name="Accent6 2 2 10 2" xfId="5114" xr:uid="{00000000-0005-0000-0000-0000D9030000}"/>
    <cellStyle name="Accent6 2 2 11" xfId="126" xr:uid="{00000000-0005-0000-0000-0000DA030000}"/>
    <cellStyle name="Accent6 2 2 11 2" xfId="5115" xr:uid="{00000000-0005-0000-0000-0000DB030000}"/>
    <cellStyle name="Accent6 2 2 12" xfId="127" xr:uid="{00000000-0005-0000-0000-0000DC030000}"/>
    <cellStyle name="Accent6 2 2 12 2" xfId="5116" xr:uid="{00000000-0005-0000-0000-0000DD030000}"/>
    <cellStyle name="Accent6 2 2 13" xfId="128" xr:uid="{00000000-0005-0000-0000-0000DE030000}"/>
    <cellStyle name="Accent6 2 2 13 2" xfId="5117" xr:uid="{00000000-0005-0000-0000-0000DF030000}"/>
    <cellStyle name="Accent6 2 2 14" xfId="129" xr:uid="{00000000-0005-0000-0000-0000E0030000}"/>
    <cellStyle name="Accent6 2 2 14 2" xfId="5118" xr:uid="{00000000-0005-0000-0000-0000E1030000}"/>
    <cellStyle name="Accent6 2 2 15" xfId="130" xr:uid="{00000000-0005-0000-0000-0000E2030000}"/>
    <cellStyle name="Accent6 2 2 15 2" xfId="5119" xr:uid="{00000000-0005-0000-0000-0000E3030000}"/>
    <cellStyle name="Accent6 2 2 16" xfId="131" xr:uid="{00000000-0005-0000-0000-0000E4030000}"/>
    <cellStyle name="Accent6 2 2 16 2" xfId="5120" xr:uid="{00000000-0005-0000-0000-0000E5030000}"/>
    <cellStyle name="Accent6 2 2 17" xfId="132" xr:uid="{00000000-0005-0000-0000-0000E6030000}"/>
    <cellStyle name="Accent6 2 2 17 2" xfId="5121" xr:uid="{00000000-0005-0000-0000-0000E7030000}"/>
    <cellStyle name="Accent6 2 2 18" xfId="133" xr:uid="{00000000-0005-0000-0000-0000E8030000}"/>
    <cellStyle name="Accent6 2 2 18 2" xfId="5122" xr:uid="{00000000-0005-0000-0000-0000E9030000}"/>
    <cellStyle name="Accent6 2 2 19" xfId="134" xr:uid="{00000000-0005-0000-0000-0000EA030000}"/>
    <cellStyle name="Accent6 2 2 19 2" xfId="5123" xr:uid="{00000000-0005-0000-0000-0000EB030000}"/>
    <cellStyle name="Accent6 2 2 2" xfId="135" xr:uid="{00000000-0005-0000-0000-0000EC030000}"/>
    <cellStyle name="Accent6 2 2 2 2" xfId="517" xr:uid="{00000000-0005-0000-0000-0000ED030000}"/>
    <cellStyle name="Accent6 2 2 2 2 2" xfId="5125" xr:uid="{00000000-0005-0000-0000-0000EE030000}"/>
    <cellStyle name="Accent6 2 2 2 2 3" xfId="5124" xr:uid="{00000000-0005-0000-0000-0000EF030000}"/>
    <cellStyle name="Accent6 2 2 2 3" xfId="518" xr:uid="{00000000-0005-0000-0000-0000F0030000}"/>
    <cellStyle name="Accent6 2 2 2 4" xfId="519" xr:uid="{00000000-0005-0000-0000-0000F1030000}"/>
    <cellStyle name="Accent6 2 2 2 5" xfId="520" xr:uid="{00000000-0005-0000-0000-0000F2030000}"/>
    <cellStyle name="Accent6 2 2 20" xfId="136" xr:uid="{00000000-0005-0000-0000-0000F3030000}"/>
    <cellStyle name="Accent6 2 2 20 2" xfId="5126" xr:uid="{00000000-0005-0000-0000-0000F4030000}"/>
    <cellStyle name="Accent6 2 2 21" xfId="137" xr:uid="{00000000-0005-0000-0000-0000F5030000}"/>
    <cellStyle name="Accent6 2 2 21 2" xfId="5127" xr:uid="{00000000-0005-0000-0000-0000F6030000}"/>
    <cellStyle name="Accent6 2 2 22" xfId="138" xr:uid="{00000000-0005-0000-0000-0000F7030000}"/>
    <cellStyle name="Accent6 2 2 22 2" xfId="5128" xr:uid="{00000000-0005-0000-0000-0000F8030000}"/>
    <cellStyle name="Accent6 2 2 23" xfId="1034" xr:uid="{00000000-0005-0000-0000-0000F9030000}"/>
    <cellStyle name="Accent6 2 2 23 2" xfId="1035" xr:uid="{00000000-0005-0000-0000-0000FA030000}"/>
    <cellStyle name="Accent6 2 2 23 2 2" xfId="1036" xr:uid="{00000000-0005-0000-0000-0000FB030000}"/>
    <cellStyle name="Accent6 2 2 23 3" xfId="5129" xr:uid="{00000000-0005-0000-0000-0000FC030000}"/>
    <cellStyle name="Accent6 2 2 24" xfId="1037" xr:uid="{00000000-0005-0000-0000-0000FD030000}"/>
    <cellStyle name="Accent6 2 2 24 2" xfId="5130" xr:uid="{00000000-0005-0000-0000-0000FE030000}"/>
    <cellStyle name="Accent6 2 2 25" xfId="1038" xr:uid="{00000000-0005-0000-0000-0000FF030000}"/>
    <cellStyle name="Accent6 2 2 25 2" xfId="5131" xr:uid="{00000000-0005-0000-0000-000000040000}"/>
    <cellStyle name="Accent6 2 2 26" xfId="1039" xr:uid="{00000000-0005-0000-0000-000001040000}"/>
    <cellStyle name="Accent6 2 2 26 2" xfId="5132" xr:uid="{00000000-0005-0000-0000-000002040000}"/>
    <cellStyle name="Accent6 2 2 27" xfId="1040" xr:uid="{00000000-0005-0000-0000-000003040000}"/>
    <cellStyle name="Accent6 2 2 27 2" xfId="5133" xr:uid="{00000000-0005-0000-0000-000004040000}"/>
    <cellStyle name="Accent6 2 2 28" xfId="1041" xr:uid="{00000000-0005-0000-0000-000005040000}"/>
    <cellStyle name="Accent6 2 2 28 2" xfId="5134" xr:uid="{00000000-0005-0000-0000-000006040000}"/>
    <cellStyle name="Accent6 2 2 29" xfId="1042" xr:uid="{00000000-0005-0000-0000-000007040000}"/>
    <cellStyle name="Accent6 2 2 29 2" xfId="5135" xr:uid="{00000000-0005-0000-0000-000008040000}"/>
    <cellStyle name="Accent6 2 2 3" xfId="139" xr:uid="{00000000-0005-0000-0000-000009040000}"/>
    <cellStyle name="Accent6 2 2 3 2" xfId="1043" xr:uid="{00000000-0005-0000-0000-00000A040000}"/>
    <cellStyle name="Accent6 2 2 3 2 2" xfId="5136" xr:uid="{00000000-0005-0000-0000-00000B040000}"/>
    <cellStyle name="Accent6 2 2 3 3" xfId="1044" xr:uid="{00000000-0005-0000-0000-00000C040000}"/>
    <cellStyle name="Accent6 2 2 3 3 2" xfId="5137" xr:uid="{00000000-0005-0000-0000-00000D040000}"/>
    <cellStyle name="Accent6 2 2 30" xfId="1045" xr:uid="{00000000-0005-0000-0000-00000E040000}"/>
    <cellStyle name="Accent6 2 2 30 2" xfId="5138" xr:uid="{00000000-0005-0000-0000-00000F040000}"/>
    <cellStyle name="Accent6 2 2 31" xfId="1046" xr:uid="{00000000-0005-0000-0000-000010040000}"/>
    <cellStyle name="Accent6 2 2 31 2" xfId="5139" xr:uid="{00000000-0005-0000-0000-000011040000}"/>
    <cellStyle name="Accent6 2 2 32" xfId="5140" xr:uid="{00000000-0005-0000-0000-000012040000}"/>
    <cellStyle name="Accent6 2 2 4" xfId="140" xr:uid="{00000000-0005-0000-0000-000013040000}"/>
    <cellStyle name="Accent6 2 2 4 2" xfId="1047" xr:uid="{00000000-0005-0000-0000-000014040000}"/>
    <cellStyle name="Accent6 2 2 4 2 2" xfId="5141" xr:uid="{00000000-0005-0000-0000-000015040000}"/>
    <cellStyle name="Accent6 2 2 4 3" xfId="1048" xr:uid="{00000000-0005-0000-0000-000016040000}"/>
    <cellStyle name="Accent6 2 2 4 3 2" xfId="5142" xr:uid="{00000000-0005-0000-0000-000017040000}"/>
    <cellStyle name="Accent6 2 2 5" xfId="141" xr:uid="{00000000-0005-0000-0000-000018040000}"/>
    <cellStyle name="Accent6 2 2 5 2" xfId="5143" xr:uid="{00000000-0005-0000-0000-000019040000}"/>
    <cellStyle name="Accent6 2 2 6" xfId="142" xr:uid="{00000000-0005-0000-0000-00001A040000}"/>
    <cellStyle name="Accent6 2 2 6 2" xfId="5144" xr:uid="{00000000-0005-0000-0000-00001B040000}"/>
    <cellStyle name="Accent6 2 2 7" xfId="143" xr:uid="{00000000-0005-0000-0000-00001C040000}"/>
    <cellStyle name="Accent6 2 2 7 2" xfId="5145" xr:uid="{00000000-0005-0000-0000-00001D040000}"/>
    <cellStyle name="Accent6 2 2 8" xfId="144" xr:uid="{00000000-0005-0000-0000-00001E040000}"/>
    <cellStyle name="Accent6 2 2 8 2" xfId="5146" xr:uid="{00000000-0005-0000-0000-00001F040000}"/>
    <cellStyle name="Accent6 2 2 9" xfId="145" xr:uid="{00000000-0005-0000-0000-000020040000}"/>
    <cellStyle name="Accent6 2 2 9 2" xfId="5147" xr:uid="{00000000-0005-0000-0000-000021040000}"/>
    <cellStyle name="Accent6 2 20" xfId="146" xr:uid="{00000000-0005-0000-0000-000022040000}"/>
    <cellStyle name="Accent6 2 20 2" xfId="5148" xr:uid="{00000000-0005-0000-0000-000023040000}"/>
    <cellStyle name="Accent6 2 21" xfId="147" xr:uid="{00000000-0005-0000-0000-000024040000}"/>
    <cellStyle name="Accent6 2 21 2" xfId="5149" xr:uid="{00000000-0005-0000-0000-000025040000}"/>
    <cellStyle name="Accent6 2 22" xfId="148" xr:uid="{00000000-0005-0000-0000-000026040000}"/>
    <cellStyle name="Accent6 2 22 2" xfId="5150" xr:uid="{00000000-0005-0000-0000-000027040000}"/>
    <cellStyle name="Accent6 2 23" xfId="1049" xr:uid="{00000000-0005-0000-0000-000028040000}"/>
    <cellStyle name="Accent6 2 23 2" xfId="1050" xr:uid="{00000000-0005-0000-0000-000029040000}"/>
    <cellStyle name="Accent6 2 23 2 2" xfId="1051" xr:uid="{00000000-0005-0000-0000-00002A040000}"/>
    <cellStyle name="Accent6 2 23 3" xfId="5151" xr:uid="{00000000-0005-0000-0000-00002B040000}"/>
    <cellStyle name="Accent6 2 24" xfId="1052" xr:uid="{00000000-0005-0000-0000-00002C040000}"/>
    <cellStyle name="Accent6 2 24 2" xfId="1053" xr:uid="{00000000-0005-0000-0000-00002D040000}"/>
    <cellStyle name="Accent6 2 24 3" xfId="5152" xr:uid="{00000000-0005-0000-0000-00002E040000}"/>
    <cellStyle name="Accent6 2 25" xfId="1054" xr:uid="{00000000-0005-0000-0000-00002F040000}"/>
    <cellStyle name="Accent6 2 25 2" xfId="5153" xr:uid="{00000000-0005-0000-0000-000030040000}"/>
    <cellStyle name="Accent6 2 26" xfId="1055" xr:uid="{00000000-0005-0000-0000-000031040000}"/>
    <cellStyle name="Accent6 2 26 2" xfId="5154" xr:uid="{00000000-0005-0000-0000-000032040000}"/>
    <cellStyle name="Accent6 2 27" xfId="1056" xr:uid="{00000000-0005-0000-0000-000033040000}"/>
    <cellStyle name="Accent6 2 27 2" xfId="5155" xr:uid="{00000000-0005-0000-0000-000034040000}"/>
    <cellStyle name="Accent6 2 28" xfId="1057" xr:uid="{00000000-0005-0000-0000-000035040000}"/>
    <cellStyle name="Accent6 2 28 2" xfId="5156" xr:uid="{00000000-0005-0000-0000-000036040000}"/>
    <cellStyle name="Accent6 2 29" xfId="1058" xr:uid="{00000000-0005-0000-0000-000037040000}"/>
    <cellStyle name="Accent6 2 29 2" xfId="5157" xr:uid="{00000000-0005-0000-0000-000038040000}"/>
    <cellStyle name="Accent6 2 3" xfId="149" xr:uid="{00000000-0005-0000-0000-000039040000}"/>
    <cellStyle name="Accent6 2 3 2" xfId="1059" xr:uid="{00000000-0005-0000-0000-00003A040000}"/>
    <cellStyle name="Accent6 2 3 2 2" xfId="5158" xr:uid="{00000000-0005-0000-0000-00003B040000}"/>
    <cellStyle name="Accent6 2 3 3" xfId="5159" xr:uid="{00000000-0005-0000-0000-00003C040000}"/>
    <cellStyle name="Accent6 2 30" xfId="1060" xr:uid="{00000000-0005-0000-0000-00003D040000}"/>
    <cellStyle name="Accent6 2 30 2" xfId="5160" xr:uid="{00000000-0005-0000-0000-00003E040000}"/>
    <cellStyle name="Accent6 2 31" xfId="1061" xr:uid="{00000000-0005-0000-0000-00003F040000}"/>
    <cellStyle name="Accent6 2 31 2" xfId="5161" xr:uid="{00000000-0005-0000-0000-000040040000}"/>
    <cellStyle name="Accent6 2 32" xfId="5162" xr:uid="{00000000-0005-0000-0000-000041040000}"/>
    <cellStyle name="Accent6 2 4" xfId="150" xr:uid="{00000000-0005-0000-0000-000042040000}"/>
    <cellStyle name="Accent6 2 4 2" xfId="1062" xr:uid="{00000000-0005-0000-0000-000043040000}"/>
    <cellStyle name="Accent6 2 4 2 2" xfId="5163" xr:uid="{00000000-0005-0000-0000-000044040000}"/>
    <cellStyle name="Accent6 2 4 3" xfId="1063" xr:uid="{00000000-0005-0000-0000-000045040000}"/>
    <cellStyle name="Accent6 2 4 3 2" xfId="5164" xr:uid="{00000000-0005-0000-0000-000046040000}"/>
    <cellStyle name="Accent6 2 5" xfId="151" xr:uid="{00000000-0005-0000-0000-000047040000}"/>
    <cellStyle name="Accent6 2 5 2" xfId="5165" xr:uid="{00000000-0005-0000-0000-000048040000}"/>
    <cellStyle name="Accent6 2 6" xfId="152" xr:uid="{00000000-0005-0000-0000-000049040000}"/>
    <cellStyle name="Accent6 2 6 2" xfId="5166" xr:uid="{00000000-0005-0000-0000-00004A040000}"/>
    <cellStyle name="Accent6 2 7" xfId="153" xr:uid="{00000000-0005-0000-0000-00004B040000}"/>
    <cellStyle name="Accent6 2 7 2" xfId="5167" xr:uid="{00000000-0005-0000-0000-00004C040000}"/>
    <cellStyle name="Accent6 2 8" xfId="154" xr:uid="{00000000-0005-0000-0000-00004D040000}"/>
    <cellStyle name="Accent6 2 8 2" xfId="5168" xr:uid="{00000000-0005-0000-0000-00004E040000}"/>
    <cellStyle name="Accent6 2 9" xfId="155" xr:uid="{00000000-0005-0000-0000-00004F040000}"/>
    <cellStyle name="Accent6 2 9 2" xfId="5169" xr:uid="{00000000-0005-0000-0000-000050040000}"/>
    <cellStyle name="Accent6 3" xfId="156" xr:uid="{00000000-0005-0000-0000-000051040000}"/>
    <cellStyle name="Accent6 3 2" xfId="1064" xr:uid="{00000000-0005-0000-0000-000052040000}"/>
    <cellStyle name="Accent6 3 2 2" xfId="5170" xr:uid="{00000000-0005-0000-0000-000053040000}"/>
    <cellStyle name="Accent6 3 3" xfId="5171" xr:uid="{00000000-0005-0000-0000-000054040000}"/>
    <cellStyle name="Accent6 4" xfId="521" xr:uid="{00000000-0005-0000-0000-000055040000}"/>
    <cellStyle name="Accent6 4 2" xfId="1065" xr:uid="{00000000-0005-0000-0000-000056040000}"/>
    <cellStyle name="Accent6 4 2 2" xfId="5172" xr:uid="{00000000-0005-0000-0000-000057040000}"/>
    <cellStyle name="Accent6 4 3" xfId="5173" xr:uid="{00000000-0005-0000-0000-000058040000}"/>
    <cellStyle name="Accent6 5" xfId="516" xr:uid="{00000000-0005-0000-0000-000059040000}"/>
    <cellStyle name="Accent6 5 2" xfId="5174" xr:uid="{00000000-0005-0000-0000-00005A040000}"/>
    <cellStyle name="Accent6 6" xfId="5103" xr:uid="{00000000-0005-0000-0000-00005B040000}"/>
    <cellStyle name="args.style" xfId="1066" xr:uid="{00000000-0005-0000-0000-00005C040000}"/>
    <cellStyle name="args.style 2" xfId="1067" xr:uid="{00000000-0005-0000-0000-00005D040000}"/>
    <cellStyle name="args.style 2 2" xfId="5176" xr:uid="{00000000-0005-0000-0000-00005E040000}"/>
    <cellStyle name="args.style 3" xfId="5175" xr:uid="{00000000-0005-0000-0000-00005F040000}"/>
    <cellStyle name="Bad" xfId="157" builtinId="27" customBuiltin="1"/>
    <cellStyle name="Bad 2" xfId="158" xr:uid="{00000000-0005-0000-0000-000061040000}"/>
    <cellStyle name="Bad 2 10" xfId="159" xr:uid="{00000000-0005-0000-0000-000062040000}"/>
    <cellStyle name="Bad 2 10 2" xfId="5178" xr:uid="{00000000-0005-0000-0000-000063040000}"/>
    <cellStyle name="Bad 2 11" xfId="160" xr:uid="{00000000-0005-0000-0000-000064040000}"/>
    <cellStyle name="Bad 2 11 2" xfId="5179" xr:uid="{00000000-0005-0000-0000-000065040000}"/>
    <cellStyle name="Bad 2 12" xfId="161" xr:uid="{00000000-0005-0000-0000-000066040000}"/>
    <cellStyle name="Bad 2 12 2" xfId="5180" xr:uid="{00000000-0005-0000-0000-000067040000}"/>
    <cellStyle name="Bad 2 13" xfId="162" xr:uid="{00000000-0005-0000-0000-000068040000}"/>
    <cellStyle name="Bad 2 13 2" xfId="5181" xr:uid="{00000000-0005-0000-0000-000069040000}"/>
    <cellStyle name="Bad 2 14" xfId="163" xr:uid="{00000000-0005-0000-0000-00006A040000}"/>
    <cellStyle name="Bad 2 14 2" xfId="5182" xr:uid="{00000000-0005-0000-0000-00006B040000}"/>
    <cellStyle name="Bad 2 15" xfId="164" xr:uid="{00000000-0005-0000-0000-00006C040000}"/>
    <cellStyle name="Bad 2 15 2" xfId="5183" xr:uid="{00000000-0005-0000-0000-00006D040000}"/>
    <cellStyle name="Bad 2 16" xfId="165" xr:uid="{00000000-0005-0000-0000-00006E040000}"/>
    <cellStyle name="Bad 2 16 2" xfId="5184" xr:uid="{00000000-0005-0000-0000-00006F040000}"/>
    <cellStyle name="Bad 2 17" xfId="166" xr:uid="{00000000-0005-0000-0000-000070040000}"/>
    <cellStyle name="Bad 2 17 2" xfId="5185" xr:uid="{00000000-0005-0000-0000-000071040000}"/>
    <cellStyle name="Bad 2 18" xfId="167" xr:uid="{00000000-0005-0000-0000-000072040000}"/>
    <cellStyle name="Bad 2 18 2" xfId="5186" xr:uid="{00000000-0005-0000-0000-000073040000}"/>
    <cellStyle name="Bad 2 19" xfId="168" xr:uid="{00000000-0005-0000-0000-000074040000}"/>
    <cellStyle name="Bad 2 19 2" xfId="5187" xr:uid="{00000000-0005-0000-0000-000075040000}"/>
    <cellStyle name="Bad 2 2" xfId="169" xr:uid="{00000000-0005-0000-0000-000076040000}"/>
    <cellStyle name="Bad 2 2 10" xfId="170" xr:uid="{00000000-0005-0000-0000-000077040000}"/>
    <cellStyle name="Bad 2 2 10 2" xfId="5188" xr:uid="{00000000-0005-0000-0000-000078040000}"/>
    <cellStyle name="Bad 2 2 11" xfId="171" xr:uid="{00000000-0005-0000-0000-000079040000}"/>
    <cellStyle name="Bad 2 2 11 2" xfId="5189" xr:uid="{00000000-0005-0000-0000-00007A040000}"/>
    <cellStyle name="Bad 2 2 12" xfId="172" xr:uid="{00000000-0005-0000-0000-00007B040000}"/>
    <cellStyle name="Bad 2 2 12 2" xfId="5190" xr:uid="{00000000-0005-0000-0000-00007C040000}"/>
    <cellStyle name="Bad 2 2 13" xfId="173" xr:uid="{00000000-0005-0000-0000-00007D040000}"/>
    <cellStyle name="Bad 2 2 13 2" xfId="5191" xr:uid="{00000000-0005-0000-0000-00007E040000}"/>
    <cellStyle name="Bad 2 2 14" xfId="174" xr:uid="{00000000-0005-0000-0000-00007F040000}"/>
    <cellStyle name="Bad 2 2 14 2" xfId="5192" xr:uid="{00000000-0005-0000-0000-000080040000}"/>
    <cellStyle name="Bad 2 2 15" xfId="175" xr:uid="{00000000-0005-0000-0000-000081040000}"/>
    <cellStyle name="Bad 2 2 15 2" xfId="5193" xr:uid="{00000000-0005-0000-0000-000082040000}"/>
    <cellStyle name="Bad 2 2 16" xfId="176" xr:uid="{00000000-0005-0000-0000-000083040000}"/>
    <cellStyle name="Bad 2 2 16 2" xfId="5194" xr:uid="{00000000-0005-0000-0000-000084040000}"/>
    <cellStyle name="Bad 2 2 17" xfId="177" xr:uid="{00000000-0005-0000-0000-000085040000}"/>
    <cellStyle name="Bad 2 2 17 2" xfId="5195" xr:uid="{00000000-0005-0000-0000-000086040000}"/>
    <cellStyle name="Bad 2 2 18" xfId="178" xr:uid="{00000000-0005-0000-0000-000087040000}"/>
    <cellStyle name="Bad 2 2 18 2" xfId="5196" xr:uid="{00000000-0005-0000-0000-000088040000}"/>
    <cellStyle name="Bad 2 2 19" xfId="179" xr:uid="{00000000-0005-0000-0000-000089040000}"/>
    <cellStyle name="Bad 2 2 19 2" xfId="5197" xr:uid="{00000000-0005-0000-0000-00008A040000}"/>
    <cellStyle name="Bad 2 2 2" xfId="180" xr:uid="{00000000-0005-0000-0000-00008B040000}"/>
    <cellStyle name="Bad 2 2 2 2" xfId="523" xr:uid="{00000000-0005-0000-0000-00008C040000}"/>
    <cellStyle name="Bad 2 2 2 2 2" xfId="5199" xr:uid="{00000000-0005-0000-0000-00008D040000}"/>
    <cellStyle name="Bad 2 2 2 2 3" xfId="5198" xr:uid="{00000000-0005-0000-0000-00008E040000}"/>
    <cellStyle name="Bad 2 2 2 3" xfId="524" xr:uid="{00000000-0005-0000-0000-00008F040000}"/>
    <cellStyle name="Bad 2 2 2 4" xfId="525" xr:uid="{00000000-0005-0000-0000-000090040000}"/>
    <cellStyle name="Bad 2 2 2 5" xfId="526" xr:uid="{00000000-0005-0000-0000-000091040000}"/>
    <cellStyle name="Bad 2 2 20" xfId="181" xr:uid="{00000000-0005-0000-0000-000092040000}"/>
    <cellStyle name="Bad 2 2 20 2" xfId="5200" xr:uid="{00000000-0005-0000-0000-000093040000}"/>
    <cellStyle name="Bad 2 2 21" xfId="182" xr:uid="{00000000-0005-0000-0000-000094040000}"/>
    <cellStyle name="Bad 2 2 21 2" xfId="5201" xr:uid="{00000000-0005-0000-0000-000095040000}"/>
    <cellStyle name="Bad 2 2 22" xfId="183" xr:uid="{00000000-0005-0000-0000-000096040000}"/>
    <cellStyle name="Bad 2 2 22 2" xfId="5202" xr:uid="{00000000-0005-0000-0000-000097040000}"/>
    <cellStyle name="Bad 2 2 23" xfId="1068" xr:uid="{00000000-0005-0000-0000-000098040000}"/>
    <cellStyle name="Bad 2 2 23 2" xfId="1069" xr:uid="{00000000-0005-0000-0000-000099040000}"/>
    <cellStyle name="Bad 2 2 23 2 2" xfId="1070" xr:uid="{00000000-0005-0000-0000-00009A040000}"/>
    <cellStyle name="Bad 2 2 23 3" xfId="5203" xr:uid="{00000000-0005-0000-0000-00009B040000}"/>
    <cellStyle name="Bad 2 2 24" xfId="1071" xr:uid="{00000000-0005-0000-0000-00009C040000}"/>
    <cellStyle name="Bad 2 2 24 2" xfId="5204" xr:uid="{00000000-0005-0000-0000-00009D040000}"/>
    <cellStyle name="Bad 2 2 25" xfId="1072" xr:uid="{00000000-0005-0000-0000-00009E040000}"/>
    <cellStyle name="Bad 2 2 25 2" xfId="5205" xr:uid="{00000000-0005-0000-0000-00009F040000}"/>
    <cellStyle name="Bad 2 2 26" xfId="1073" xr:uid="{00000000-0005-0000-0000-0000A0040000}"/>
    <cellStyle name="Bad 2 2 26 2" xfId="5206" xr:uid="{00000000-0005-0000-0000-0000A1040000}"/>
    <cellStyle name="Bad 2 2 27" xfId="1074" xr:uid="{00000000-0005-0000-0000-0000A2040000}"/>
    <cellStyle name="Bad 2 2 27 2" xfId="5207" xr:uid="{00000000-0005-0000-0000-0000A3040000}"/>
    <cellStyle name="Bad 2 2 28" xfId="1075" xr:uid="{00000000-0005-0000-0000-0000A4040000}"/>
    <cellStyle name="Bad 2 2 28 2" xfId="5208" xr:uid="{00000000-0005-0000-0000-0000A5040000}"/>
    <cellStyle name="Bad 2 2 29" xfId="1076" xr:uid="{00000000-0005-0000-0000-0000A6040000}"/>
    <cellStyle name="Bad 2 2 29 2" xfId="5209" xr:uid="{00000000-0005-0000-0000-0000A7040000}"/>
    <cellStyle name="Bad 2 2 3" xfId="184" xr:uid="{00000000-0005-0000-0000-0000A8040000}"/>
    <cellStyle name="Bad 2 2 3 2" xfId="1077" xr:uid="{00000000-0005-0000-0000-0000A9040000}"/>
    <cellStyle name="Bad 2 2 3 2 2" xfId="5210" xr:uid="{00000000-0005-0000-0000-0000AA040000}"/>
    <cellStyle name="Bad 2 2 3 3" xfId="1078" xr:uid="{00000000-0005-0000-0000-0000AB040000}"/>
    <cellStyle name="Bad 2 2 3 3 2" xfId="5211" xr:uid="{00000000-0005-0000-0000-0000AC040000}"/>
    <cellStyle name="Bad 2 2 30" xfId="1079" xr:uid="{00000000-0005-0000-0000-0000AD040000}"/>
    <cellStyle name="Bad 2 2 30 2" xfId="5212" xr:uid="{00000000-0005-0000-0000-0000AE040000}"/>
    <cellStyle name="Bad 2 2 31" xfId="1080" xr:uid="{00000000-0005-0000-0000-0000AF040000}"/>
    <cellStyle name="Bad 2 2 31 2" xfId="5213" xr:uid="{00000000-0005-0000-0000-0000B0040000}"/>
    <cellStyle name="Bad 2 2 32" xfId="5214" xr:uid="{00000000-0005-0000-0000-0000B1040000}"/>
    <cellStyle name="Bad 2 2 4" xfId="185" xr:uid="{00000000-0005-0000-0000-0000B2040000}"/>
    <cellStyle name="Bad 2 2 4 2" xfId="1081" xr:uid="{00000000-0005-0000-0000-0000B3040000}"/>
    <cellStyle name="Bad 2 2 4 2 2" xfId="5215" xr:uid="{00000000-0005-0000-0000-0000B4040000}"/>
    <cellStyle name="Bad 2 2 4 3" xfId="1082" xr:uid="{00000000-0005-0000-0000-0000B5040000}"/>
    <cellStyle name="Bad 2 2 4 3 2" xfId="5216" xr:uid="{00000000-0005-0000-0000-0000B6040000}"/>
    <cellStyle name="Bad 2 2 5" xfId="186" xr:uid="{00000000-0005-0000-0000-0000B7040000}"/>
    <cellStyle name="Bad 2 2 5 2" xfId="5217" xr:uid="{00000000-0005-0000-0000-0000B8040000}"/>
    <cellStyle name="Bad 2 2 6" xfId="187" xr:uid="{00000000-0005-0000-0000-0000B9040000}"/>
    <cellStyle name="Bad 2 2 6 2" xfId="5218" xr:uid="{00000000-0005-0000-0000-0000BA040000}"/>
    <cellStyle name="Bad 2 2 7" xfId="188" xr:uid="{00000000-0005-0000-0000-0000BB040000}"/>
    <cellStyle name="Bad 2 2 7 2" xfId="5219" xr:uid="{00000000-0005-0000-0000-0000BC040000}"/>
    <cellStyle name="Bad 2 2 8" xfId="189" xr:uid="{00000000-0005-0000-0000-0000BD040000}"/>
    <cellStyle name="Bad 2 2 8 2" xfId="5220" xr:uid="{00000000-0005-0000-0000-0000BE040000}"/>
    <cellStyle name="Bad 2 2 9" xfId="190" xr:uid="{00000000-0005-0000-0000-0000BF040000}"/>
    <cellStyle name="Bad 2 2 9 2" xfId="5221" xr:uid="{00000000-0005-0000-0000-0000C0040000}"/>
    <cellStyle name="Bad 2 20" xfId="191" xr:uid="{00000000-0005-0000-0000-0000C1040000}"/>
    <cellStyle name="Bad 2 20 2" xfId="5222" xr:uid="{00000000-0005-0000-0000-0000C2040000}"/>
    <cellStyle name="Bad 2 21" xfId="192" xr:uid="{00000000-0005-0000-0000-0000C3040000}"/>
    <cellStyle name="Bad 2 21 2" xfId="5223" xr:uid="{00000000-0005-0000-0000-0000C4040000}"/>
    <cellStyle name="Bad 2 22" xfId="193" xr:uid="{00000000-0005-0000-0000-0000C5040000}"/>
    <cellStyle name="Bad 2 22 2" xfId="5224" xr:uid="{00000000-0005-0000-0000-0000C6040000}"/>
    <cellStyle name="Bad 2 23" xfId="1083" xr:uid="{00000000-0005-0000-0000-0000C7040000}"/>
    <cellStyle name="Bad 2 23 2" xfId="1084" xr:uid="{00000000-0005-0000-0000-0000C8040000}"/>
    <cellStyle name="Bad 2 23 2 2" xfId="1085" xr:uid="{00000000-0005-0000-0000-0000C9040000}"/>
    <cellStyle name="Bad 2 23 3" xfId="5225" xr:uid="{00000000-0005-0000-0000-0000CA040000}"/>
    <cellStyle name="Bad 2 24" xfId="1086" xr:uid="{00000000-0005-0000-0000-0000CB040000}"/>
    <cellStyle name="Bad 2 24 2" xfId="1087" xr:uid="{00000000-0005-0000-0000-0000CC040000}"/>
    <cellStyle name="Bad 2 24 3" xfId="5226" xr:uid="{00000000-0005-0000-0000-0000CD040000}"/>
    <cellStyle name="Bad 2 25" xfId="1088" xr:uid="{00000000-0005-0000-0000-0000CE040000}"/>
    <cellStyle name="Bad 2 25 2" xfId="5227" xr:uid="{00000000-0005-0000-0000-0000CF040000}"/>
    <cellStyle name="Bad 2 26" xfId="1089" xr:uid="{00000000-0005-0000-0000-0000D0040000}"/>
    <cellStyle name="Bad 2 26 2" xfId="5228" xr:uid="{00000000-0005-0000-0000-0000D1040000}"/>
    <cellStyle name="Bad 2 27" xfId="1090" xr:uid="{00000000-0005-0000-0000-0000D2040000}"/>
    <cellStyle name="Bad 2 27 2" xfId="5229" xr:uid="{00000000-0005-0000-0000-0000D3040000}"/>
    <cellStyle name="Bad 2 28" xfId="1091" xr:uid="{00000000-0005-0000-0000-0000D4040000}"/>
    <cellStyle name="Bad 2 28 2" xfId="5230" xr:uid="{00000000-0005-0000-0000-0000D5040000}"/>
    <cellStyle name="Bad 2 29" xfId="1092" xr:uid="{00000000-0005-0000-0000-0000D6040000}"/>
    <cellStyle name="Bad 2 29 2" xfId="5231" xr:uid="{00000000-0005-0000-0000-0000D7040000}"/>
    <cellStyle name="Bad 2 3" xfId="194" xr:uid="{00000000-0005-0000-0000-0000D8040000}"/>
    <cellStyle name="Bad 2 3 2" xfId="1093" xr:uid="{00000000-0005-0000-0000-0000D9040000}"/>
    <cellStyle name="Bad 2 3 2 2" xfId="5232" xr:uid="{00000000-0005-0000-0000-0000DA040000}"/>
    <cellStyle name="Bad 2 3 3" xfId="5233" xr:uid="{00000000-0005-0000-0000-0000DB040000}"/>
    <cellStyle name="Bad 2 30" xfId="1094" xr:uid="{00000000-0005-0000-0000-0000DC040000}"/>
    <cellStyle name="Bad 2 30 2" xfId="5234" xr:uid="{00000000-0005-0000-0000-0000DD040000}"/>
    <cellStyle name="Bad 2 31" xfId="1095" xr:uid="{00000000-0005-0000-0000-0000DE040000}"/>
    <cellStyle name="Bad 2 31 2" xfId="5235" xr:uid="{00000000-0005-0000-0000-0000DF040000}"/>
    <cellStyle name="Bad 2 32" xfId="5236" xr:uid="{00000000-0005-0000-0000-0000E0040000}"/>
    <cellStyle name="Bad 2 4" xfId="195" xr:uid="{00000000-0005-0000-0000-0000E1040000}"/>
    <cellStyle name="Bad 2 4 2" xfId="1096" xr:uid="{00000000-0005-0000-0000-0000E2040000}"/>
    <cellStyle name="Bad 2 4 2 2" xfId="5237" xr:uid="{00000000-0005-0000-0000-0000E3040000}"/>
    <cellStyle name="Bad 2 4 3" xfId="1097" xr:uid="{00000000-0005-0000-0000-0000E4040000}"/>
    <cellStyle name="Bad 2 4 3 2" xfId="5238" xr:uid="{00000000-0005-0000-0000-0000E5040000}"/>
    <cellStyle name="Bad 2 5" xfId="196" xr:uid="{00000000-0005-0000-0000-0000E6040000}"/>
    <cellStyle name="Bad 2 5 2" xfId="5239" xr:uid="{00000000-0005-0000-0000-0000E7040000}"/>
    <cellStyle name="Bad 2 6" xfId="197" xr:uid="{00000000-0005-0000-0000-0000E8040000}"/>
    <cellStyle name="Bad 2 6 2" xfId="5240" xr:uid="{00000000-0005-0000-0000-0000E9040000}"/>
    <cellStyle name="Bad 2 7" xfId="198" xr:uid="{00000000-0005-0000-0000-0000EA040000}"/>
    <cellStyle name="Bad 2 7 2" xfId="5241" xr:uid="{00000000-0005-0000-0000-0000EB040000}"/>
    <cellStyle name="Bad 2 8" xfId="199" xr:uid="{00000000-0005-0000-0000-0000EC040000}"/>
    <cellStyle name="Bad 2 8 2" xfId="5242" xr:uid="{00000000-0005-0000-0000-0000ED040000}"/>
    <cellStyle name="Bad 2 9" xfId="200" xr:uid="{00000000-0005-0000-0000-0000EE040000}"/>
    <cellStyle name="Bad 2 9 2" xfId="5243" xr:uid="{00000000-0005-0000-0000-0000EF040000}"/>
    <cellStyle name="Bad 3" xfId="201" xr:uid="{00000000-0005-0000-0000-0000F0040000}"/>
    <cellStyle name="Bad 3 2" xfId="1098" xr:uid="{00000000-0005-0000-0000-0000F1040000}"/>
    <cellStyle name="Bad 3 2 2" xfId="5244" xr:uid="{00000000-0005-0000-0000-0000F2040000}"/>
    <cellStyle name="Bad 3 3" xfId="1099" xr:uid="{00000000-0005-0000-0000-0000F3040000}"/>
    <cellStyle name="Bad 3 3 2" xfId="5245" xr:uid="{00000000-0005-0000-0000-0000F4040000}"/>
    <cellStyle name="Bad 4" xfId="527" xr:uid="{00000000-0005-0000-0000-0000F5040000}"/>
    <cellStyle name="Bad 4 2" xfId="1100" xr:uid="{00000000-0005-0000-0000-0000F6040000}"/>
    <cellStyle name="Bad 4 2 2" xfId="5246" xr:uid="{00000000-0005-0000-0000-0000F7040000}"/>
    <cellStyle name="Bad 4 3" xfId="5247" xr:uid="{00000000-0005-0000-0000-0000F8040000}"/>
    <cellStyle name="Bad 5" xfId="522" xr:uid="{00000000-0005-0000-0000-0000F9040000}"/>
    <cellStyle name="Bad 5 2" xfId="5248" xr:uid="{00000000-0005-0000-0000-0000FA040000}"/>
    <cellStyle name="Bad 6" xfId="5177" xr:uid="{00000000-0005-0000-0000-0000FB040000}"/>
    <cellStyle name="Border" xfId="1101" xr:uid="{00000000-0005-0000-0000-0000FC040000}"/>
    <cellStyle name="Border 2" xfId="5249" xr:uid="{00000000-0005-0000-0000-0000FD040000}"/>
    <cellStyle name="Ç¥ÁØ_´Ü°èº° ±¸Ãà¾È" xfId="1102" xr:uid="{00000000-0005-0000-0000-0000FE040000}"/>
    <cellStyle name="Calc Units (2)" xfId="1103" xr:uid="{00000000-0005-0000-0000-0000FF040000}"/>
    <cellStyle name="Calc Units (2) 2" xfId="5250" xr:uid="{00000000-0005-0000-0000-000000050000}"/>
    <cellStyle name="Calculation" xfId="202" builtinId="22" customBuiltin="1"/>
    <cellStyle name="Calculation 2" xfId="203" xr:uid="{00000000-0005-0000-0000-000002050000}"/>
    <cellStyle name="Calculation 2 2" xfId="529" xr:uid="{00000000-0005-0000-0000-000003050000}"/>
    <cellStyle name="Calculation 2 2 2" xfId="1105" xr:uid="{00000000-0005-0000-0000-000004050000}"/>
    <cellStyle name="Calculation 2 2 3" xfId="1106" xr:uid="{00000000-0005-0000-0000-000005050000}"/>
    <cellStyle name="Calculation 2 2 4" xfId="1107" xr:uid="{00000000-0005-0000-0000-000006050000}"/>
    <cellStyle name="Calculation 2 2 5" xfId="1104" xr:uid="{00000000-0005-0000-0000-000007050000}"/>
    <cellStyle name="Calculation 2 2 6" xfId="5251" xr:uid="{00000000-0005-0000-0000-000008050000}"/>
    <cellStyle name="Calculation 2 3" xfId="5252" xr:uid="{00000000-0005-0000-0000-000009050000}"/>
    <cellStyle name="Calculation 2 3 2" xfId="6462" xr:uid="{00000000-0005-0000-0000-00000A050000}"/>
    <cellStyle name="Calculation 3" xfId="204" xr:uid="{00000000-0005-0000-0000-00000B050000}"/>
    <cellStyle name="Calculation 3 2" xfId="1108" xr:uid="{00000000-0005-0000-0000-00000C050000}"/>
    <cellStyle name="Calculation 3 2 2" xfId="5253" xr:uid="{00000000-0005-0000-0000-00000D050000}"/>
    <cellStyle name="Calculation 3 2 2 2" xfId="6493" xr:uid="{00000000-0005-0000-0000-00000E050000}"/>
    <cellStyle name="Calculation 3 2 3" xfId="6445" xr:uid="{00000000-0005-0000-0000-00000F050000}"/>
    <cellStyle name="Calculation 3 3" xfId="5254" xr:uid="{00000000-0005-0000-0000-000010050000}"/>
    <cellStyle name="Calculation 3 3 2" xfId="6463" xr:uid="{00000000-0005-0000-0000-000011050000}"/>
    <cellStyle name="Calculation 4" xfId="530" xr:uid="{00000000-0005-0000-0000-000012050000}"/>
    <cellStyle name="Calculation 4 2" xfId="1109" xr:uid="{00000000-0005-0000-0000-000013050000}"/>
    <cellStyle name="Calculation 4 2 2" xfId="5255" xr:uid="{00000000-0005-0000-0000-000014050000}"/>
    <cellStyle name="Calculation 4 3" xfId="1110" xr:uid="{00000000-0005-0000-0000-000015050000}"/>
    <cellStyle name="Calculation 4 4" xfId="6451" xr:uid="{00000000-0005-0000-0000-000016050000}"/>
    <cellStyle name="Calculation 5" xfId="531" xr:uid="{00000000-0005-0000-0000-000017050000}"/>
    <cellStyle name="Calculation 6" xfId="528" xr:uid="{00000000-0005-0000-0000-000018050000}"/>
    <cellStyle name="category" xfId="1111" xr:uid="{00000000-0005-0000-0000-000019050000}"/>
    <cellStyle name="category 2" xfId="1112" xr:uid="{00000000-0005-0000-0000-00001A050000}"/>
    <cellStyle name="category 2 2" xfId="5257" xr:uid="{00000000-0005-0000-0000-00001B050000}"/>
    <cellStyle name="category 3" xfId="5256" xr:uid="{00000000-0005-0000-0000-00001C050000}"/>
    <cellStyle name="Check Cell" xfId="205" builtinId="23" customBuiltin="1"/>
    <cellStyle name="Check Cell 2" xfId="206" xr:uid="{00000000-0005-0000-0000-00001E050000}"/>
    <cellStyle name="Check Cell 2 2" xfId="533" xr:uid="{00000000-0005-0000-0000-00001F050000}"/>
    <cellStyle name="Check Cell 2 2 2" xfId="1114" xr:uid="{00000000-0005-0000-0000-000020050000}"/>
    <cellStyle name="Check Cell 2 2 3" xfId="1115" xr:uid="{00000000-0005-0000-0000-000021050000}"/>
    <cellStyle name="Check Cell 2 2 4" xfId="1116" xr:uid="{00000000-0005-0000-0000-000022050000}"/>
    <cellStyle name="Check Cell 2 2 5" xfId="1113" xr:uid="{00000000-0005-0000-0000-000023050000}"/>
    <cellStyle name="Check Cell 2 2 6" xfId="5258" xr:uid="{00000000-0005-0000-0000-000024050000}"/>
    <cellStyle name="Check Cell 2 3" xfId="5259" xr:uid="{00000000-0005-0000-0000-000025050000}"/>
    <cellStyle name="Check Cell 3" xfId="207" xr:uid="{00000000-0005-0000-0000-000026050000}"/>
    <cellStyle name="Check Cell 3 2" xfId="1117" xr:uid="{00000000-0005-0000-0000-000027050000}"/>
    <cellStyle name="Check Cell 3 2 2" xfId="5260" xr:uid="{00000000-0005-0000-0000-000028050000}"/>
    <cellStyle name="Check Cell 3 3" xfId="5261" xr:uid="{00000000-0005-0000-0000-000029050000}"/>
    <cellStyle name="Check Cell 4" xfId="534" xr:uid="{00000000-0005-0000-0000-00002A050000}"/>
    <cellStyle name="Check Cell 4 2" xfId="1118" xr:uid="{00000000-0005-0000-0000-00002B050000}"/>
    <cellStyle name="Check Cell 4 2 2" xfId="5262" xr:uid="{00000000-0005-0000-0000-00002C050000}"/>
    <cellStyle name="Check Cell 4 3" xfId="1119" xr:uid="{00000000-0005-0000-0000-00002D050000}"/>
    <cellStyle name="Check Cell 4 4" xfId="6448" xr:uid="{00000000-0005-0000-0000-00002E050000}"/>
    <cellStyle name="Check Cell 5" xfId="535" xr:uid="{00000000-0005-0000-0000-00002F050000}"/>
    <cellStyle name="Check Cell 6" xfId="532" xr:uid="{00000000-0005-0000-0000-000030050000}"/>
    <cellStyle name="ColStyle1" xfId="1120" xr:uid="{00000000-0005-0000-0000-000031050000}"/>
    <cellStyle name="ColStyle1 2" xfId="1121" xr:uid="{00000000-0005-0000-0000-000032050000}"/>
    <cellStyle name="ColStyle1 2 2" xfId="3977" xr:uid="{00000000-0005-0000-0000-000033050000}"/>
    <cellStyle name="ColStyle1 3" xfId="3976" xr:uid="{00000000-0005-0000-0000-000034050000}"/>
    <cellStyle name="ColStyle1 4" xfId="6437" xr:uid="{00000000-0005-0000-0000-000035050000}"/>
    <cellStyle name="ColStyle10" xfId="1122" xr:uid="{00000000-0005-0000-0000-000036050000}"/>
    <cellStyle name="ColStyle10 2" xfId="1123" xr:uid="{00000000-0005-0000-0000-000037050000}"/>
    <cellStyle name="ColStyle10 2 2" xfId="1124" xr:uid="{00000000-0005-0000-0000-000038050000}"/>
    <cellStyle name="ColStyle10 2 2 2" xfId="1125" xr:uid="{00000000-0005-0000-0000-000039050000}"/>
    <cellStyle name="ColStyle10 2 2 2 2" xfId="3981" xr:uid="{00000000-0005-0000-0000-00003A050000}"/>
    <cellStyle name="ColStyle10 2 2 3" xfId="3980" xr:uid="{00000000-0005-0000-0000-00003B050000}"/>
    <cellStyle name="ColStyle10 2 3" xfId="3979" xr:uid="{00000000-0005-0000-0000-00003C050000}"/>
    <cellStyle name="ColStyle10 2 4" xfId="5264" xr:uid="{00000000-0005-0000-0000-00003D050000}"/>
    <cellStyle name="ColStyle10 3" xfId="3978" xr:uid="{00000000-0005-0000-0000-00003E050000}"/>
    <cellStyle name="ColStyle10 4" xfId="5263" xr:uid="{00000000-0005-0000-0000-00003F050000}"/>
    <cellStyle name="ColStyle11" xfId="536" xr:uid="{00000000-0005-0000-0000-000040050000}"/>
    <cellStyle name="ColStyle11 2" xfId="537" xr:uid="{00000000-0005-0000-0000-000041050000}"/>
    <cellStyle name="ColStyle11 2 2" xfId="1128" xr:uid="{00000000-0005-0000-0000-000042050000}"/>
    <cellStyle name="ColStyle11 2 2 2" xfId="1129" xr:uid="{00000000-0005-0000-0000-000043050000}"/>
    <cellStyle name="ColStyle11 2 2 2 2" xfId="3985" xr:uid="{00000000-0005-0000-0000-000044050000}"/>
    <cellStyle name="ColStyle11 2 2 3" xfId="3984" xr:uid="{00000000-0005-0000-0000-000045050000}"/>
    <cellStyle name="ColStyle11 2 3" xfId="1127" xr:uid="{00000000-0005-0000-0000-000046050000}"/>
    <cellStyle name="ColStyle11 2 3 2" xfId="3983" xr:uid="{00000000-0005-0000-0000-000047050000}"/>
    <cellStyle name="ColStyle11 2 4" xfId="3916" xr:uid="{00000000-0005-0000-0000-000048050000}"/>
    <cellStyle name="ColStyle11 2 5" xfId="5266" xr:uid="{00000000-0005-0000-0000-000049050000}"/>
    <cellStyle name="ColStyle11 3" xfId="538" xr:uid="{00000000-0005-0000-0000-00004A050000}"/>
    <cellStyle name="ColStyle11 3 2" xfId="1130" xr:uid="{00000000-0005-0000-0000-00004B050000}"/>
    <cellStyle name="ColStyle11 3 2 2" xfId="3986" xr:uid="{00000000-0005-0000-0000-00004C050000}"/>
    <cellStyle name="ColStyle11 3 3" xfId="3917" xr:uid="{00000000-0005-0000-0000-00004D050000}"/>
    <cellStyle name="ColStyle11 3 4" xfId="5267" xr:uid="{00000000-0005-0000-0000-00004E050000}"/>
    <cellStyle name="ColStyle11 4" xfId="1126" xr:uid="{00000000-0005-0000-0000-00004F050000}"/>
    <cellStyle name="ColStyle11 4 2" xfId="3982" xr:uid="{00000000-0005-0000-0000-000050050000}"/>
    <cellStyle name="ColStyle11 5" xfId="3915" xr:uid="{00000000-0005-0000-0000-000051050000}"/>
    <cellStyle name="ColStyle11 6" xfId="5265" xr:uid="{00000000-0005-0000-0000-000052050000}"/>
    <cellStyle name="ColStyle2" xfId="1131" xr:uid="{00000000-0005-0000-0000-000053050000}"/>
    <cellStyle name="ColStyle2 2" xfId="3987" xr:uid="{00000000-0005-0000-0000-000054050000}"/>
    <cellStyle name="ColStyle3" xfId="1132" xr:uid="{00000000-0005-0000-0000-000055050000}"/>
    <cellStyle name="ColStyle3 2" xfId="1133" xr:uid="{00000000-0005-0000-0000-000056050000}"/>
    <cellStyle name="ColStyle3 2 2" xfId="3989" xr:uid="{00000000-0005-0000-0000-000057050000}"/>
    <cellStyle name="ColStyle3 3" xfId="3988" xr:uid="{00000000-0005-0000-0000-000058050000}"/>
    <cellStyle name="ColStyle4" xfId="1134" xr:uid="{00000000-0005-0000-0000-000059050000}"/>
    <cellStyle name="ColStyle4 2" xfId="1135" xr:uid="{00000000-0005-0000-0000-00005A050000}"/>
    <cellStyle name="ColStyle4 2 2" xfId="1136" xr:uid="{00000000-0005-0000-0000-00005B050000}"/>
    <cellStyle name="ColStyle4 2 2 2" xfId="1137" xr:uid="{00000000-0005-0000-0000-00005C050000}"/>
    <cellStyle name="ColStyle4 2 2 2 2" xfId="3993" xr:uid="{00000000-0005-0000-0000-00005D050000}"/>
    <cellStyle name="ColStyle4 2 2 3" xfId="3992" xr:uid="{00000000-0005-0000-0000-00005E050000}"/>
    <cellStyle name="ColStyle4 2 3" xfId="3991" xr:uid="{00000000-0005-0000-0000-00005F050000}"/>
    <cellStyle name="ColStyle4 2 4" xfId="5269" xr:uid="{00000000-0005-0000-0000-000060050000}"/>
    <cellStyle name="ColStyle4 3" xfId="1138" xr:uid="{00000000-0005-0000-0000-000061050000}"/>
    <cellStyle name="ColStyle4 4" xfId="1139" xr:uid="{00000000-0005-0000-0000-000062050000}"/>
    <cellStyle name="ColStyle4 4 2" xfId="3994" xr:uid="{00000000-0005-0000-0000-000063050000}"/>
    <cellStyle name="ColStyle4 5" xfId="3990" xr:uid="{00000000-0005-0000-0000-000064050000}"/>
    <cellStyle name="ColStyle4 6" xfId="5268" xr:uid="{00000000-0005-0000-0000-000065050000}"/>
    <cellStyle name="ColStyle5" xfId="539" xr:uid="{00000000-0005-0000-0000-000066050000}"/>
    <cellStyle name="ColStyle5 2" xfId="540" xr:uid="{00000000-0005-0000-0000-000067050000}"/>
    <cellStyle name="ColStyle5 2 2" xfId="1142" xr:uid="{00000000-0005-0000-0000-000068050000}"/>
    <cellStyle name="ColStyle5 2 2 2" xfId="1143" xr:uid="{00000000-0005-0000-0000-000069050000}"/>
    <cellStyle name="ColStyle5 2 2 2 2" xfId="3998" xr:uid="{00000000-0005-0000-0000-00006A050000}"/>
    <cellStyle name="ColStyle5 2 2 3" xfId="3997" xr:uid="{00000000-0005-0000-0000-00006B050000}"/>
    <cellStyle name="ColStyle5 2 3" xfId="1141" xr:uid="{00000000-0005-0000-0000-00006C050000}"/>
    <cellStyle name="ColStyle5 2 3 2" xfId="3996" xr:uid="{00000000-0005-0000-0000-00006D050000}"/>
    <cellStyle name="ColStyle5 2 4" xfId="3919" xr:uid="{00000000-0005-0000-0000-00006E050000}"/>
    <cellStyle name="ColStyle5 2 5" xfId="5271" xr:uid="{00000000-0005-0000-0000-00006F050000}"/>
    <cellStyle name="ColStyle5 3" xfId="541" xr:uid="{00000000-0005-0000-0000-000070050000}"/>
    <cellStyle name="ColStyle5 3 2" xfId="1145" xr:uid="{00000000-0005-0000-0000-000071050000}"/>
    <cellStyle name="ColStyle5 3 2 2" xfId="4000" xr:uid="{00000000-0005-0000-0000-000072050000}"/>
    <cellStyle name="ColStyle5 3 3" xfId="1144" xr:uid="{00000000-0005-0000-0000-000073050000}"/>
    <cellStyle name="ColStyle5 3 3 2" xfId="3999" xr:uid="{00000000-0005-0000-0000-000074050000}"/>
    <cellStyle name="ColStyle5 3 4" xfId="3920" xr:uid="{00000000-0005-0000-0000-000075050000}"/>
    <cellStyle name="ColStyle5 3 5" xfId="5272" xr:uid="{00000000-0005-0000-0000-000076050000}"/>
    <cellStyle name="ColStyle5 4" xfId="1140" xr:uid="{00000000-0005-0000-0000-000077050000}"/>
    <cellStyle name="ColStyle5 4 2" xfId="3995" xr:uid="{00000000-0005-0000-0000-000078050000}"/>
    <cellStyle name="ColStyle5 5" xfId="3918" xr:uid="{00000000-0005-0000-0000-000079050000}"/>
    <cellStyle name="ColStyle5 6" xfId="5270" xr:uid="{00000000-0005-0000-0000-00007A050000}"/>
    <cellStyle name="ColStyle6" xfId="542" xr:uid="{00000000-0005-0000-0000-00007B050000}"/>
    <cellStyle name="ColStyle6 2" xfId="543" xr:uid="{00000000-0005-0000-0000-00007C050000}"/>
    <cellStyle name="ColStyle6 2 2" xfId="1148" xr:uid="{00000000-0005-0000-0000-00007D050000}"/>
    <cellStyle name="ColStyle6 2 2 2" xfId="1149" xr:uid="{00000000-0005-0000-0000-00007E050000}"/>
    <cellStyle name="ColStyle6 2 2 2 2" xfId="4004" xr:uid="{00000000-0005-0000-0000-00007F050000}"/>
    <cellStyle name="ColStyle6 2 2 3" xfId="4003" xr:uid="{00000000-0005-0000-0000-000080050000}"/>
    <cellStyle name="ColStyle6 2 3" xfId="1147" xr:uid="{00000000-0005-0000-0000-000081050000}"/>
    <cellStyle name="ColStyle6 2 3 2" xfId="4002" xr:uid="{00000000-0005-0000-0000-000082050000}"/>
    <cellStyle name="ColStyle6 2 4" xfId="3922" xr:uid="{00000000-0005-0000-0000-000083050000}"/>
    <cellStyle name="ColStyle6 2 5" xfId="5274" xr:uid="{00000000-0005-0000-0000-000084050000}"/>
    <cellStyle name="ColStyle6 3" xfId="544" xr:uid="{00000000-0005-0000-0000-000085050000}"/>
    <cellStyle name="ColStyle6 3 2" xfId="1151" xr:uid="{00000000-0005-0000-0000-000086050000}"/>
    <cellStyle name="ColStyle6 3 2 2" xfId="4006" xr:uid="{00000000-0005-0000-0000-000087050000}"/>
    <cellStyle name="ColStyle6 3 3" xfId="1150" xr:uid="{00000000-0005-0000-0000-000088050000}"/>
    <cellStyle name="ColStyle6 3 3 2" xfId="4005" xr:uid="{00000000-0005-0000-0000-000089050000}"/>
    <cellStyle name="ColStyle6 3 4" xfId="3923" xr:uid="{00000000-0005-0000-0000-00008A050000}"/>
    <cellStyle name="ColStyle6 3 5" xfId="5275" xr:uid="{00000000-0005-0000-0000-00008B050000}"/>
    <cellStyle name="ColStyle6 4" xfId="1146" xr:uid="{00000000-0005-0000-0000-00008C050000}"/>
    <cellStyle name="ColStyle6 4 2" xfId="4001" xr:uid="{00000000-0005-0000-0000-00008D050000}"/>
    <cellStyle name="ColStyle6 5" xfId="3921" xr:uid="{00000000-0005-0000-0000-00008E050000}"/>
    <cellStyle name="ColStyle6 6" xfId="5273" xr:uid="{00000000-0005-0000-0000-00008F050000}"/>
    <cellStyle name="ColStyle7" xfId="1152" xr:uid="{00000000-0005-0000-0000-000090050000}"/>
    <cellStyle name="ColStyle7 2" xfId="1153" xr:uid="{00000000-0005-0000-0000-000091050000}"/>
    <cellStyle name="ColStyle7 2 2" xfId="1154" xr:uid="{00000000-0005-0000-0000-000092050000}"/>
    <cellStyle name="ColStyle7 2 2 2" xfId="1155" xr:uid="{00000000-0005-0000-0000-000093050000}"/>
    <cellStyle name="ColStyle7 2 2 2 2" xfId="4010" xr:uid="{00000000-0005-0000-0000-000094050000}"/>
    <cellStyle name="ColStyle7 2 2 3" xfId="4009" xr:uid="{00000000-0005-0000-0000-000095050000}"/>
    <cellStyle name="ColStyle7 2 3" xfId="4008" xr:uid="{00000000-0005-0000-0000-000096050000}"/>
    <cellStyle name="ColStyle7 2 4" xfId="5277" xr:uid="{00000000-0005-0000-0000-000097050000}"/>
    <cellStyle name="ColStyle7 3" xfId="4007" xr:uid="{00000000-0005-0000-0000-000098050000}"/>
    <cellStyle name="ColStyle7 4" xfId="5276" xr:uid="{00000000-0005-0000-0000-000099050000}"/>
    <cellStyle name="ColStyle8" xfId="545" xr:uid="{00000000-0005-0000-0000-00009A050000}"/>
    <cellStyle name="ColStyle8 2" xfId="546" xr:uid="{00000000-0005-0000-0000-00009B050000}"/>
    <cellStyle name="ColStyle8 2 2" xfId="1158" xr:uid="{00000000-0005-0000-0000-00009C050000}"/>
    <cellStyle name="ColStyle8 2 2 2" xfId="1159" xr:uid="{00000000-0005-0000-0000-00009D050000}"/>
    <cellStyle name="ColStyle8 2 2 2 2" xfId="4014" xr:uid="{00000000-0005-0000-0000-00009E050000}"/>
    <cellStyle name="ColStyle8 2 2 3" xfId="4013" xr:uid="{00000000-0005-0000-0000-00009F050000}"/>
    <cellStyle name="ColStyle8 2 3" xfId="1157" xr:uid="{00000000-0005-0000-0000-0000A0050000}"/>
    <cellStyle name="ColStyle8 2 3 2" xfId="4012" xr:uid="{00000000-0005-0000-0000-0000A1050000}"/>
    <cellStyle name="ColStyle8 2 4" xfId="3925" xr:uid="{00000000-0005-0000-0000-0000A2050000}"/>
    <cellStyle name="ColStyle8 2 5" xfId="5279" xr:uid="{00000000-0005-0000-0000-0000A3050000}"/>
    <cellStyle name="ColStyle8 3" xfId="547" xr:uid="{00000000-0005-0000-0000-0000A4050000}"/>
    <cellStyle name="ColStyle8 3 2" xfId="1160" xr:uid="{00000000-0005-0000-0000-0000A5050000}"/>
    <cellStyle name="ColStyle8 3 2 2" xfId="4015" xr:uid="{00000000-0005-0000-0000-0000A6050000}"/>
    <cellStyle name="ColStyle8 3 3" xfId="3926" xr:uid="{00000000-0005-0000-0000-0000A7050000}"/>
    <cellStyle name="ColStyle8 3 4" xfId="5280" xr:uid="{00000000-0005-0000-0000-0000A8050000}"/>
    <cellStyle name="ColStyle8 4" xfId="1156" xr:uid="{00000000-0005-0000-0000-0000A9050000}"/>
    <cellStyle name="ColStyle8 4 2" xfId="4011" xr:uid="{00000000-0005-0000-0000-0000AA050000}"/>
    <cellStyle name="ColStyle8 5" xfId="3924" xr:uid="{00000000-0005-0000-0000-0000AB050000}"/>
    <cellStyle name="ColStyle8 6" xfId="5278" xr:uid="{00000000-0005-0000-0000-0000AC050000}"/>
    <cellStyle name="ColStyle9" xfId="548" xr:uid="{00000000-0005-0000-0000-0000AD050000}"/>
    <cellStyle name="ColStyle9 2" xfId="549" xr:uid="{00000000-0005-0000-0000-0000AE050000}"/>
    <cellStyle name="ColStyle9 2 2" xfId="1163" xr:uid="{00000000-0005-0000-0000-0000AF050000}"/>
    <cellStyle name="ColStyle9 2 2 2" xfId="1164" xr:uid="{00000000-0005-0000-0000-0000B0050000}"/>
    <cellStyle name="ColStyle9 2 2 2 2" xfId="4019" xr:uid="{00000000-0005-0000-0000-0000B1050000}"/>
    <cellStyle name="ColStyle9 2 2 3" xfId="4018" xr:uid="{00000000-0005-0000-0000-0000B2050000}"/>
    <cellStyle name="ColStyle9 2 3" xfId="1162" xr:uid="{00000000-0005-0000-0000-0000B3050000}"/>
    <cellStyle name="ColStyle9 2 3 2" xfId="4017" xr:uid="{00000000-0005-0000-0000-0000B4050000}"/>
    <cellStyle name="ColStyle9 2 4" xfId="3928" xr:uid="{00000000-0005-0000-0000-0000B5050000}"/>
    <cellStyle name="ColStyle9 2 5" xfId="5282" xr:uid="{00000000-0005-0000-0000-0000B6050000}"/>
    <cellStyle name="ColStyle9 3" xfId="550" xr:uid="{00000000-0005-0000-0000-0000B7050000}"/>
    <cellStyle name="ColStyle9 3 2" xfId="1165" xr:uid="{00000000-0005-0000-0000-0000B8050000}"/>
    <cellStyle name="ColStyle9 3 2 2" xfId="4020" xr:uid="{00000000-0005-0000-0000-0000B9050000}"/>
    <cellStyle name="ColStyle9 3 3" xfId="3929" xr:uid="{00000000-0005-0000-0000-0000BA050000}"/>
    <cellStyle name="ColStyle9 3 4" xfId="5283" xr:uid="{00000000-0005-0000-0000-0000BB050000}"/>
    <cellStyle name="ColStyle9 4" xfId="1161" xr:uid="{00000000-0005-0000-0000-0000BC050000}"/>
    <cellStyle name="ColStyle9 4 2" xfId="4016" xr:uid="{00000000-0005-0000-0000-0000BD050000}"/>
    <cellStyle name="ColStyle9 5" xfId="3927" xr:uid="{00000000-0005-0000-0000-0000BE050000}"/>
    <cellStyle name="ColStyle9 6" xfId="5281" xr:uid="{00000000-0005-0000-0000-0000BF050000}"/>
    <cellStyle name="Comma [0] 2" xfId="1166" xr:uid="{00000000-0005-0000-0000-0000C0050000}"/>
    <cellStyle name="Comma [0] 2 2" xfId="1167" xr:uid="{00000000-0005-0000-0000-0000C1050000}"/>
    <cellStyle name="Comma [0] 2 2 2" xfId="1168" xr:uid="{00000000-0005-0000-0000-0000C2050000}"/>
    <cellStyle name="Comma [0] 2 2 2 2" xfId="4023" xr:uid="{00000000-0005-0000-0000-0000C3050000}"/>
    <cellStyle name="Comma [0] 2 2 3" xfId="4022" xr:uid="{00000000-0005-0000-0000-0000C4050000}"/>
    <cellStyle name="Comma [0] 2 3" xfId="1169" xr:uid="{00000000-0005-0000-0000-0000C5050000}"/>
    <cellStyle name="Comma [0] 2 3 2" xfId="4024" xr:uid="{00000000-0005-0000-0000-0000C6050000}"/>
    <cellStyle name="Comma [0] 2 4" xfId="1170" xr:uid="{00000000-0005-0000-0000-0000C7050000}"/>
    <cellStyle name="Comma [0] 2 4 2" xfId="4025" xr:uid="{00000000-0005-0000-0000-0000C8050000}"/>
    <cellStyle name="Comma [0] 2 5" xfId="1171" xr:uid="{00000000-0005-0000-0000-0000C9050000}"/>
    <cellStyle name="Comma [0] 2 5 2" xfId="4026" xr:uid="{00000000-0005-0000-0000-0000CA050000}"/>
    <cellStyle name="Comma [0] 2 6" xfId="1172" xr:uid="{00000000-0005-0000-0000-0000CB050000}"/>
    <cellStyle name="Comma [0] 2 6 2" xfId="4027" xr:uid="{00000000-0005-0000-0000-0000CC050000}"/>
    <cellStyle name="Comma [0] 2 7" xfId="1173" xr:uid="{00000000-0005-0000-0000-0000CD050000}"/>
    <cellStyle name="Comma [0] 2 7 2" xfId="4028" xr:uid="{00000000-0005-0000-0000-0000CE050000}"/>
    <cellStyle name="Comma [0] 2 8" xfId="4021" xr:uid="{00000000-0005-0000-0000-0000CF050000}"/>
    <cellStyle name="Comma [0] 2 9" xfId="5284" xr:uid="{00000000-0005-0000-0000-0000D0050000}"/>
    <cellStyle name="Comma [00]" xfId="1174" xr:uid="{00000000-0005-0000-0000-0000D1050000}"/>
    <cellStyle name="Comma 10" xfId="1175" xr:uid="{00000000-0005-0000-0000-0000D2050000}"/>
    <cellStyle name="Comma 10 2" xfId="1176" xr:uid="{00000000-0005-0000-0000-0000D3050000}"/>
    <cellStyle name="Comma 10 2 2" xfId="1177" xr:uid="{00000000-0005-0000-0000-0000D4050000}"/>
    <cellStyle name="Comma 10 2 2 2" xfId="4031" xr:uid="{00000000-0005-0000-0000-0000D5050000}"/>
    <cellStyle name="Comma 10 2 3" xfId="4030" xr:uid="{00000000-0005-0000-0000-0000D6050000}"/>
    <cellStyle name="Comma 10 3" xfId="1178" xr:uid="{00000000-0005-0000-0000-0000D7050000}"/>
    <cellStyle name="Comma 10 3 2" xfId="4032" xr:uid="{00000000-0005-0000-0000-0000D8050000}"/>
    <cellStyle name="Comma 10 4" xfId="1179" xr:uid="{00000000-0005-0000-0000-0000D9050000}"/>
    <cellStyle name="Comma 10 4 2" xfId="4033" xr:uid="{00000000-0005-0000-0000-0000DA050000}"/>
    <cellStyle name="Comma 10 5" xfId="1180" xr:uid="{00000000-0005-0000-0000-0000DB050000}"/>
    <cellStyle name="Comma 10 5 2" xfId="4034" xr:uid="{00000000-0005-0000-0000-0000DC050000}"/>
    <cellStyle name="Comma 10 6" xfId="1181" xr:uid="{00000000-0005-0000-0000-0000DD050000}"/>
    <cellStyle name="Comma 10 6 2" xfId="4035" xr:uid="{00000000-0005-0000-0000-0000DE050000}"/>
    <cellStyle name="Comma 10 7" xfId="1182" xr:uid="{00000000-0005-0000-0000-0000DF050000}"/>
    <cellStyle name="Comma 10 7 2" xfId="4036" xr:uid="{00000000-0005-0000-0000-0000E0050000}"/>
    <cellStyle name="Comma 10 8" xfId="4029" xr:uid="{00000000-0005-0000-0000-0000E1050000}"/>
    <cellStyle name="Comma 10 9" xfId="5285" xr:uid="{00000000-0005-0000-0000-0000E2050000}"/>
    <cellStyle name="Comma 11" xfId="1183" xr:uid="{00000000-0005-0000-0000-0000E3050000}"/>
    <cellStyle name="Comma 11 2" xfId="1184" xr:uid="{00000000-0005-0000-0000-0000E4050000}"/>
    <cellStyle name="Comma 11 2 2" xfId="1185" xr:uid="{00000000-0005-0000-0000-0000E5050000}"/>
    <cellStyle name="Comma 11 2 2 2" xfId="4039" xr:uid="{00000000-0005-0000-0000-0000E6050000}"/>
    <cellStyle name="Comma 11 2 3" xfId="4038" xr:uid="{00000000-0005-0000-0000-0000E7050000}"/>
    <cellStyle name="Comma 11 3" xfId="1186" xr:uid="{00000000-0005-0000-0000-0000E8050000}"/>
    <cellStyle name="Comma 11 3 2" xfId="4040" xr:uid="{00000000-0005-0000-0000-0000E9050000}"/>
    <cellStyle name="Comma 11 4" xfId="1187" xr:uid="{00000000-0005-0000-0000-0000EA050000}"/>
    <cellStyle name="Comma 11 4 2" xfId="4041" xr:uid="{00000000-0005-0000-0000-0000EB050000}"/>
    <cellStyle name="Comma 11 5" xfId="1188" xr:uid="{00000000-0005-0000-0000-0000EC050000}"/>
    <cellStyle name="Comma 11 5 2" xfId="4042" xr:uid="{00000000-0005-0000-0000-0000ED050000}"/>
    <cellStyle name="Comma 11 6" xfId="1189" xr:uid="{00000000-0005-0000-0000-0000EE050000}"/>
    <cellStyle name="Comma 11 6 2" xfId="4043" xr:uid="{00000000-0005-0000-0000-0000EF050000}"/>
    <cellStyle name="Comma 11 7" xfId="1190" xr:uid="{00000000-0005-0000-0000-0000F0050000}"/>
    <cellStyle name="Comma 11 7 2" xfId="4044" xr:uid="{00000000-0005-0000-0000-0000F1050000}"/>
    <cellStyle name="Comma 11 8" xfId="4037" xr:uid="{00000000-0005-0000-0000-0000F2050000}"/>
    <cellStyle name="Comma 11 9" xfId="5286" xr:uid="{00000000-0005-0000-0000-0000F3050000}"/>
    <cellStyle name="Comma 12" xfId="1191" xr:uid="{00000000-0005-0000-0000-0000F4050000}"/>
    <cellStyle name="Comma 12 2" xfId="1192" xr:uid="{00000000-0005-0000-0000-0000F5050000}"/>
    <cellStyle name="Comma 12 2 2" xfId="1193" xr:uid="{00000000-0005-0000-0000-0000F6050000}"/>
    <cellStyle name="Comma 12 2 2 2" xfId="4047" xr:uid="{00000000-0005-0000-0000-0000F7050000}"/>
    <cellStyle name="Comma 12 2 3" xfId="1194" xr:uid="{00000000-0005-0000-0000-0000F8050000}"/>
    <cellStyle name="Comma 12 2 3 2" xfId="4048" xr:uid="{00000000-0005-0000-0000-0000F9050000}"/>
    <cellStyle name="Comma 12 2 4" xfId="4046" xr:uid="{00000000-0005-0000-0000-0000FA050000}"/>
    <cellStyle name="Comma 12 2 5" xfId="5288" xr:uid="{00000000-0005-0000-0000-0000FB050000}"/>
    <cellStyle name="Comma 12 3" xfId="1195" xr:uid="{00000000-0005-0000-0000-0000FC050000}"/>
    <cellStyle name="Comma 12 3 2" xfId="1196" xr:uid="{00000000-0005-0000-0000-0000FD050000}"/>
    <cellStyle name="Comma 12 3 2 2" xfId="4050" xr:uid="{00000000-0005-0000-0000-0000FE050000}"/>
    <cellStyle name="Comma 12 3 3" xfId="4049" xr:uid="{00000000-0005-0000-0000-0000FF050000}"/>
    <cellStyle name="Comma 12 4" xfId="1197" xr:uid="{00000000-0005-0000-0000-000000060000}"/>
    <cellStyle name="Comma 12 4 2" xfId="4051" xr:uid="{00000000-0005-0000-0000-000001060000}"/>
    <cellStyle name="Comma 12 5" xfId="1198" xr:uid="{00000000-0005-0000-0000-000002060000}"/>
    <cellStyle name="Comma 12 5 2" xfId="4052" xr:uid="{00000000-0005-0000-0000-000003060000}"/>
    <cellStyle name="Comma 12 6" xfId="1199" xr:uid="{00000000-0005-0000-0000-000004060000}"/>
    <cellStyle name="Comma 12 6 2" xfId="4053" xr:uid="{00000000-0005-0000-0000-000005060000}"/>
    <cellStyle name="Comma 12 7" xfId="1200" xr:uid="{00000000-0005-0000-0000-000006060000}"/>
    <cellStyle name="Comma 12 7 2" xfId="4054" xr:uid="{00000000-0005-0000-0000-000007060000}"/>
    <cellStyle name="Comma 12 8" xfId="4045" xr:uid="{00000000-0005-0000-0000-000008060000}"/>
    <cellStyle name="Comma 12 9" xfId="5287" xr:uid="{00000000-0005-0000-0000-000009060000}"/>
    <cellStyle name="Comma 13" xfId="1201" xr:uid="{00000000-0005-0000-0000-00000A060000}"/>
    <cellStyle name="Comma 13 2" xfId="1202" xr:uid="{00000000-0005-0000-0000-00000B060000}"/>
    <cellStyle name="Comma 13 2 2" xfId="1203" xr:uid="{00000000-0005-0000-0000-00000C060000}"/>
    <cellStyle name="Comma 13 2 2 2" xfId="4057" xr:uid="{00000000-0005-0000-0000-00000D060000}"/>
    <cellStyle name="Comma 13 2 3" xfId="4056" xr:uid="{00000000-0005-0000-0000-00000E060000}"/>
    <cellStyle name="Comma 13 3" xfId="1204" xr:uid="{00000000-0005-0000-0000-00000F060000}"/>
    <cellStyle name="Comma 13 3 2" xfId="4058" xr:uid="{00000000-0005-0000-0000-000010060000}"/>
    <cellStyle name="Comma 13 4" xfId="1205" xr:uid="{00000000-0005-0000-0000-000011060000}"/>
    <cellStyle name="Comma 13 4 2" xfId="4059" xr:uid="{00000000-0005-0000-0000-000012060000}"/>
    <cellStyle name="Comma 13 5" xfId="1206" xr:uid="{00000000-0005-0000-0000-000013060000}"/>
    <cellStyle name="Comma 13 5 2" xfId="4060" xr:uid="{00000000-0005-0000-0000-000014060000}"/>
    <cellStyle name="Comma 13 6" xfId="1207" xr:uid="{00000000-0005-0000-0000-000015060000}"/>
    <cellStyle name="Comma 13 6 2" xfId="4061" xr:uid="{00000000-0005-0000-0000-000016060000}"/>
    <cellStyle name="Comma 13 7" xfId="1208" xr:uid="{00000000-0005-0000-0000-000017060000}"/>
    <cellStyle name="Comma 13 7 2" xfId="4062" xr:uid="{00000000-0005-0000-0000-000018060000}"/>
    <cellStyle name="Comma 13 8" xfId="4055" xr:uid="{00000000-0005-0000-0000-000019060000}"/>
    <cellStyle name="Comma 13 9" xfId="5289" xr:uid="{00000000-0005-0000-0000-00001A060000}"/>
    <cellStyle name="Comma 14" xfId="1209" xr:uid="{00000000-0005-0000-0000-00001B060000}"/>
    <cellStyle name="Comma 14 2" xfId="1210" xr:uid="{00000000-0005-0000-0000-00001C060000}"/>
    <cellStyle name="Comma 14 2 2" xfId="1211" xr:uid="{00000000-0005-0000-0000-00001D060000}"/>
    <cellStyle name="Comma 14 2 2 2" xfId="4065" xr:uid="{00000000-0005-0000-0000-00001E060000}"/>
    <cellStyle name="Comma 14 2 3" xfId="1212" xr:uid="{00000000-0005-0000-0000-00001F060000}"/>
    <cellStyle name="Comma 14 2 3 2" xfId="4066" xr:uid="{00000000-0005-0000-0000-000020060000}"/>
    <cellStyle name="Comma 14 2 4" xfId="4064" xr:uid="{00000000-0005-0000-0000-000021060000}"/>
    <cellStyle name="Comma 14 2 5" xfId="5291" xr:uid="{00000000-0005-0000-0000-000022060000}"/>
    <cellStyle name="Comma 14 3" xfId="1213" xr:uid="{00000000-0005-0000-0000-000023060000}"/>
    <cellStyle name="Comma 14 3 2" xfId="1214" xr:uid="{00000000-0005-0000-0000-000024060000}"/>
    <cellStyle name="Comma 14 3 2 2" xfId="4068" xr:uid="{00000000-0005-0000-0000-000025060000}"/>
    <cellStyle name="Comma 14 3 3" xfId="4067" xr:uid="{00000000-0005-0000-0000-000026060000}"/>
    <cellStyle name="Comma 14 4" xfId="1215" xr:uid="{00000000-0005-0000-0000-000027060000}"/>
    <cellStyle name="Comma 14 4 2" xfId="4069" xr:uid="{00000000-0005-0000-0000-000028060000}"/>
    <cellStyle name="Comma 14 5" xfId="1216" xr:uid="{00000000-0005-0000-0000-000029060000}"/>
    <cellStyle name="Comma 14 5 2" xfId="4070" xr:uid="{00000000-0005-0000-0000-00002A060000}"/>
    <cellStyle name="Comma 14 6" xfId="1217" xr:uid="{00000000-0005-0000-0000-00002B060000}"/>
    <cellStyle name="Comma 14 6 2" xfId="4071" xr:uid="{00000000-0005-0000-0000-00002C060000}"/>
    <cellStyle name="Comma 14 7" xfId="1218" xr:uid="{00000000-0005-0000-0000-00002D060000}"/>
    <cellStyle name="Comma 14 7 2" xfId="4072" xr:uid="{00000000-0005-0000-0000-00002E060000}"/>
    <cellStyle name="Comma 14 8" xfId="4063" xr:uid="{00000000-0005-0000-0000-00002F060000}"/>
    <cellStyle name="Comma 14 9" xfId="5290" xr:uid="{00000000-0005-0000-0000-000030060000}"/>
    <cellStyle name="Comma 15" xfId="1219" xr:uid="{00000000-0005-0000-0000-000031060000}"/>
    <cellStyle name="Comma 15 2" xfId="1220" xr:uid="{00000000-0005-0000-0000-000032060000}"/>
    <cellStyle name="Comma 15 2 2" xfId="1221" xr:uid="{00000000-0005-0000-0000-000033060000}"/>
    <cellStyle name="Comma 15 2 2 2" xfId="4075" xr:uid="{00000000-0005-0000-0000-000034060000}"/>
    <cellStyle name="Comma 15 2 3" xfId="1222" xr:uid="{00000000-0005-0000-0000-000035060000}"/>
    <cellStyle name="Comma 15 2 3 2" xfId="4076" xr:uid="{00000000-0005-0000-0000-000036060000}"/>
    <cellStyle name="Comma 15 2 4" xfId="4074" xr:uid="{00000000-0005-0000-0000-000037060000}"/>
    <cellStyle name="Comma 15 2 5" xfId="5293" xr:uid="{00000000-0005-0000-0000-000038060000}"/>
    <cellStyle name="Comma 15 3" xfId="1223" xr:uid="{00000000-0005-0000-0000-000039060000}"/>
    <cellStyle name="Comma 15 3 2" xfId="1224" xr:uid="{00000000-0005-0000-0000-00003A060000}"/>
    <cellStyle name="Comma 15 3 2 2" xfId="4078" xr:uid="{00000000-0005-0000-0000-00003B060000}"/>
    <cellStyle name="Comma 15 3 3" xfId="4077" xr:uid="{00000000-0005-0000-0000-00003C060000}"/>
    <cellStyle name="Comma 15 4" xfId="1225" xr:uid="{00000000-0005-0000-0000-00003D060000}"/>
    <cellStyle name="Comma 15 4 2" xfId="4079" xr:uid="{00000000-0005-0000-0000-00003E060000}"/>
    <cellStyle name="Comma 15 5" xfId="1226" xr:uid="{00000000-0005-0000-0000-00003F060000}"/>
    <cellStyle name="Comma 15 5 2" xfId="4080" xr:uid="{00000000-0005-0000-0000-000040060000}"/>
    <cellStyle name="Comma 15 6" xfId="1227" xr:uid="{00000000-0005-0000-0000-000041060000}"/>
    <cellStyle name="Comma 15 6 2" xfId="4081" xr:uid="{00000000-0005-0000-0000-000042060000}"/>
    <cellStyle name="Comma 15 7" xfId="1228" xr:uid="{00000000-0005-0000-0000-000043060000}"/>
    <cellStyle name="Comma 15 7 2" xfId="4082" xr:uid="{00000000-0005-0000-0000-000044060000}"/>
    <cellStyle name="Comma 15 8" xfId="4073" xr:uid="{00000000-0005-0000-0000-000045060000}"/>
    <cellStyle name="Comma 15 9" xfId="5292" xr:uid="{00000000-0005-0000-0000-000046060000}"/>
    <cellStyle name="Comma 16" xfId="1229" xr:uid="{00000000-0005-0000-0000-000047060000}"/>
    <cellStyle name="Comma 16 2" xfId="1230" xr:uid="{00000000-0005-0000-0000-000048060000}"/>
    <cellStyle name="Comma 16 2 2" xfId="1231" xr:uid="{00000000-0005-0000-0000-000049060000}"/>
    <cellStyle name="Comma 16 2 2 2" xfId="4085" xr:uid="{00000000-0005-0000-0000-00004A060000}"/>
    <cellStyle name="Comma 16 2 3" xfId="1232" xr:uid="{00000000-0005-0000-0000-00004B060000}"/>
    <cellStyle name="Comma 16 2 3 2" xfId="4086" xr:uid="{00000000-0005-0000-0000-00004C060000}"/>
    <cellStyle name="Comma 16 2 4" xfId="4084" xr:uid="{00000000-0005-0000-0000-00004D060000}"/>
    <cellStyle name="Comma 16 2 5" xfId="5295" xr:uid="{00000000-0005-0000-0000-00004E060000}"/>
    <cellStyle name="Comma 16 3" xfId="1233" xr:uid="{00000000-0005-0000-0000-00004F060000}"/>
    <cellStyle name="Comma 16 3 2" xfId="1234" xr:uid="{00000000-0005-0000-0000-000050060000}"/>
    <cellStyle name="Comma 16 3 2 2" xfId="4088" xr:uid="{00000000-0005-0000-0000-000051060000}"/>
    <cellStyle name="Comma 16 3 3" xfId="4087" xr:uid="{00000000-0005-0000-0000-000052060000}"/>
    <cellStyle name="Comma 16 4" xfId="1235" xr:uid="{00000000-0005-0000-0000-000053060000}"/>
    <cellStyle name="Comma 16 4 2" xfId="4089" xr:uid="{00000000-0005-0000-0000-000054060000}"/>
    <cellStyle name="Comma 16 5" xfId="1236" xr:uid="{00000000-0005-0000-0000-000055060000}"/>
    <cellStyle name="Comma 16 5 2" xfId="4090" xr:uid="{00000000-0005-0000-0000-000056060000}"/>
    <cellStyle name="Comma 16 6" xfId="1237" xr:uid="{00000000-0005-0000-0000-000057060000}"/>
    <cellStyle name="Comma 16 6 2" xfId="4091" xr:uid="{00000000-0005-0000-0000-000058060000}"/>
    <cellStyle name="Comma 16 7" xfId="1238" xr:uid="{00000000-0005-0000-0000-000059060000}"/>
    <cellStyle name="Comma 16 7 2" xfId="4092" xr:uid="{00000000-0005-0000-0000-00005A060000}"/>
    <cellStyle name="Comma 16 8" xfId="4083" xr:uid="{00000000-0005-0000-0000-00005B060000}"/>
    <cellStyle name="Comma 16 9" xfId="5294" xr:uid="{00000000-0005-0000-0000-00005C060000}"/>
    <cellStyle name="Comma 17" xfId="1239" xr:uid="{00000000-0005-0000-0000-00005D060000}"/>
    <cellStyle name="Comma 17 2" xfId="1240" xr:uid="{00000000-0005-0000-0000-00005E060000}"/>
    <cellStyle name="Comma 17 2 2" xfId="1241" xr:uid="{00000000-0005-0000-0000-00005F060000}"/>
    <cellStyle name="Comma 17 2 2 2" xfId="4095" xr:uid="{00000000-0005-0000-0000-000060060000}"/>
    <cellStyle name="Comma 17 2 3" xfId="1242" xr:uid="{00000000-0005-0000-0000-000061060000}"/>
    <cellStyle name="Comma 17 2 3 2" xfId="4096" xr:uid="{00000000-0005-0000-0000-000062060000}"/>
    <cellStyle name="Comma 17 2 4" xfId="4094" xr:uid="{00000000-0005-0000-0000-000063060000}"/>
    <cellStyle name="Comma 17 2 5" xfId="5297" xr:uid="{00000000-0005-0000-0000-000064060000}"/>
    <cellStyle name="Comma 17 3" xfId="1243" xr:uid="{00000000-0005-0000-0000-000065060000}"/>
    <cellStyle name="Comma 17 3 2" xfId="1244" xr:uid="{00000000-0005-0000-0000-000066060000}"/>
    <cellStyle name="Comma 17 3 2 2" xfId="4098" xr:uid="{00000000-0005-0000-0000-000067060000}"/>
    <cellStyle name="Comma 17 3 3" xfId="4097" xr:uid="{00000000-0005-0000-0000-000068060000}"/>
    <cellStyle name="Comma 17 4" xfId="1245" xr:uid="{00000000-0005-0000-0000-000069060000}"/>
    <cellStyle name="Comma 17 4 2" xfId="4099" xr:uid="{00000000-0005-0000-0000-00006A060000}"/>
    <cellStyle name="Comma 17 5" xfId="1246" xr:uid="{00000000-0005-0000-0000-00006B060000}"/>
    <cellStyle name="Comma 17 5 2" xfId="4100" xr:uid="{00000000-0005-0000-0000-00006C060000}"/>
    <cellStyle name="Comma 17 6" xfId="1247" xr:uid="{00000000-0005-0000-0000-00006D060000}"/>
    <cellStyle name="Comma 17 6 2" xfId="4101" xr:uid="{00000000-0005-0000-0000-00006E060000}"/>
    <cellStyle name="Comma 17 7" xfId="1248" xr:uid="{00000000-0005-0000-0000-00006F060000}"/>
    <cellStyle name="Comma 17 7 2" xfId="4102" xr:uid="{00000000-0005-0000-0000-000070060000}"/>
    <cellStyle name="Comma 17 8" xfId="4093" xr:uid="{00000000-0005-0000-0000-000071060000}"/>
    <cellStyle name="Comma 17 9" xfId="5296" xr:uid="{00000000-0005-0000-0000-000072060000}"/>
    <cellStyle name="Comma 18" xfId="1249" xr:uid="{00000000-0005-0000-0000-000073060000}"/>
    <cellStyle name="Comma 18 10" xfId="1250" xr:uid="{00000000-0005-0000-0000-000074060000}"/>
    <cellStyle name="Comma 18 10 2" xfId="4104" xr:uid="{00000000-0005-0000-0000-000075060000}"/>
    <cellStyle name="Comma 18 11" xfId="1251" xr:uid="{00000000-0005-0000-0000-000076060000}"/>
    <cellStyle name="Comma 18 11 2" xfId="1252" xr:uid="{00000000-0005-0000-0000-000077060000}"/>
    <cellStyle name="Comma 18 11 2 2" xfId="4106" xr:uid="{00000000-0005-0000-0000-000078060000}"/>
    <cellStyle name="Comma 18 11 3" xfId="4105" xr:uid="{00000000-0005-0000-0000-000079060000}"/>
    <cellStyle name="Comma 18 12" xfId="1253" xr:uid="{00000000-0005-0000-0000-00007A060000}"/>
    <cellStyle name="Comma 18 12 2" xfId="4107" xr:uid="{00000000-0005-0000-0000-00007B060000}"/>
    <cellStyle name="Comma 18 13" xfId="1254" xr:uid="{00000000-0005-0000-0000-00007C060000}"/>
    <cellStyle name="Comma 18 13 2" xfId="4108" xr:uid="{00000000-0005-0000-0000-00007D060000}"/>
    <cellStyle name="Comma 18 14" xfId="1255" xr:uid="{00000000-0005-0000-0000-00007E060000}"/>
    <cellStyle name="Comma 18 14 2" xfId="4109" xr:uid="{00000000-0005-0000-0000-00007F060000}"/>
    <cellStyle name="Comma 18 15" xfId="4103" xr:uid="{00000000-0005-0000-0000-000080060000}"/>
    <cellStyle name="Comma 18 16" xfId="5298" xr:uid="{00000000-0005-0000-0000-000081060000}"/>
    <cellStyle name="Comma 18 2" xfId="1256" xr:uid="{00000000-0005-0000-0000-000082060000}"/>
    <cellStyle name="Comma 18 2 2" xfId="1257" xr:uid="{00000000-0005-0000-0000-000083060000}"/>
    <cellStyle name="Comma 18 2 2 2" xfId="1258" xr:uid="{00000000-0005-0000-0000-000084060000}"/>
    <cellStyle name="Comma 18 2 2 2 2" xfId="4112" xr:uid="{00000000-0005-0000-0000-000085060000}"/>
    <cellStyle name="Comma 18 2 2 3" xfId="4111" xr:uid="{00000000-0005-0000-0000-000086060000}"/>
    <cellStyle name="Comma 18 2 2 4" xfId="5300" xr:uid="{00000000-0005-0000-0000-000087060000}"/>
    <cellStyle name="Comma 18 2 3" xfId="1259" xr:uid="{00000000-0005-0000-0000-000088060000}"/>
    <cellStyle name="Comma 18 2 3 2" xfId="1260" xr:uid="{00000000-0005-0000-0000-000089060000}"/>
    <cellStyle name="Comma 18 2 3 2 2" xfId="4114" xr:uid="{00000000-0005-0000-0000-00008A060000}"/>
    <cellStyle name="Comma 18 2 3 3" xfId="4113" xr:uid="{00000000-0005-0000-0000-00008B060000}"/>
    <cellStyle name="Comma 18 2 3 4" xfId="5301" xr:uid="{00000000-0005-0000-0000-00008C060000}"/>
    <cellStyle name="Comma 18 2 4" xfId="1261" xr:uid="{00000000-0005-0000-0000-00008D060000}"/>
    <cellStyle name="Comma 18 2 4 2" xfId="1262" xr:uid="{00000000-0005-0000-0000-00008E060000}"/>
    <cellStyle name="Comma 18 2 4 2 2" xfId="4116" xr:uid="{00000000-0005-0000-0000-00008F060000}"/>
    <cellStyle name="Comma 18 2 4 3" xfId="4115" xr:uid="{00000000-0005-0000-0000-000090060000}"/>
    <cellStyle name="Comma 18 2 4 4" xfId="5302" xr:uid="{00000000-0005-0000-0000-000091060000}"/>
    <cellStyle name="Comma 18 2 5" xfId="1263" xr:uid="{00000000-0005-0000-0000-000092060000}"/>
    <cellStyle name="Comma 18 2 5 2" xfId="4117" xr:uid="{00000000-0005-0000-0000-000093060000}"/>
    <cellStyle name="Comma 18 2 6" xfId="1264" xr:uid="{00000000-0005-0000-0000-000094060000}"/>
    <cellStyle name="Comma 18 2 6 2" xfId="4118" xr:uid="{00000000-0005-0000-0000-000095060000}"/>
    <cellStyle name="Comma 18 2 7" xfId="4110" xr:uid="{00000000-0005-0000-0000-000096060000}"/>
    <cellStyle name="Comma 18 2 8" xfId="5299" xr:uid="{00000000-0005-0000-0000-000097060000}"/>
    <cellStyle name="Comma 18 3" xfId="1265" xr:uid="{00000000-0005-0000-0000-000098060000}"/>
    <cellStyle name="Comma 18 3 2" xfId="1266" xr:uid="{00000000-0005-0000-0000-000099060000}"/>
    <cellStyle name="Comma 18 3 2 2" xfId="4120" xr:uid="{00000000-0005-0000-0000-00009A060000}"/>
    <cellStyle name="Comma 18 3 3" xfId="1267" xr:uid="{00000000-0005-0000-0000-00009B060000}"/>
    <cellStyle name="Comma 18 3 3 2" xfId="4121" xr:uid="{00000000-0005-0000-0000-00009C060000}"/>
    <cellStyle name="Comma 18 3 4" xfId="4119" xr:uid="{00000000-0005-0000-0000-00009D060000}"/>
    <cellStyle name="Comma 18 3 5" xfId="5303" xr:uid="{00000000-0005-0000-0000-00009E060000}"/>
    <cellStyle name="Comma 18 4" xfId="1268" xr:uid="{00000000-0005-0000-0000-00009F060000}"/>
    <cellStyle name="Comma 18 4 2" xfId="1269" xr:uid="{00000000-0005-0000-0000-0000A0060000}"/>
    <cellStyle name="Comma 18 4 2 2" xfId="1270" xr:uid="{00000000-0005-0000-0000-0000A1060000}"/>
    <cellStyle name="Comma 18 4 2 2 2" xfId="4124" xr:uid="{00000000-0005-0000-0000-0000A2060000}"/>
    <cellStyle name="Comma 18 4 2 3" xfId="4123" xr:uid="{00000000-0005-0000-0000-0000A3060000}"/>
    <cellStyle name="Comma 18 4 2 4" xfId="5305" xr:uid="{00000000-0005-0000-0000-0000A4060000}"/>
    <cellStyle name="Comma 18 4 3" xfId="1271" xr:uid="{00000000-0005-0000-0000-0000A5060000}"/>
    <cellStyle name="Comma 18 4 3 2" xfId="4125" xr:uid="{00000000-0005-0000-0000-0000A6060000}"/>
    <cellStyle name="Comma 18 4 4" xfId="1272" xr:uid="{00000000-0005-0000-0000-0000A7060000}"/>
    <cellStyle name="Comma 18 4 4 2" xfId="4126" xr:uid="{00000000-0005-0000-0000-0000A8060000}"/>
    <cellStyle name="Comma 18 4 5" xfId="4122" xr:uid="{00000000-0005-0000-0000-0000A9060000}"/>
    <cellStyle name="Comma 18 4 6" xfId="5304" xr:uid="{00000000-0005-0000-0000-0000AA060000}"/>
    <cellStyle name="Comma 18 5" xfId="1273" xr:uid="{00000000-0005-0000-0000-0000AB060000}"/>
    <cellStyle name="Comma 18 5 2" xfId="1274" xr:uid="{00000000-0005-0000-0000-0000AC060000}"/>
    <cellStyle name="Comma 18 5 2 2" xfId="1275" xr:uid="{00000000-0005-0000-0000-0000AD060000}"/>
    <cellStyle name="Comma 18 5 2 2 2" xfId="4129" xr:uid="{00000000-0005-0000-0000-0000AE060000}"/>
    <cellStyle name="Comma 18 5 2 3" xfId="4128" xr:uid="{00000000-0005-0000-0000-0000AF060000}"/>
    <cellStyle name="Comma 18 5 2 4" xfId="5307" xr:uid="{00000000-0005-0000-0000-0000B0060000}"/>
    <cellStyle name="Comma 18 5 3" xfId="1276" xr:uid="{00000000-0005-0000-0000-0000B1060000}"/>
    <cellStyle name="Comma 18 5 3 2" xfId="4130" xr:uid="{00000000-0005-0000-0000-0000B2060000}"/>
    <cellStyle name="Comma 18 5 4" xfId="1277" xr:uid="{00000000-0005-0000-0000-0000B3060000}"/>
    <cellStyle name="Comma 18 5 4 2" xfId="4131" xr:uid="{00000000-0005-0000-0000-0000B4060000}"/>
    <cellStyle name="Comma 18 5 5" xfId="4127" xr:uid="{00000000-0005-0000-0000-0000B5060000}"/>
    <cellStyle name="Comma 18 5 6" xfId="5306" xr:uid="{00000000-0005-0000-0000-0000B6060000}"/>
    <cellStyle name="Comma 18 6" xfId="1278" xr:uid="{00000000-0005-0000-0000-0000B7060000}"/>
    <cellStyle name="Comma 18 6 2" xfId="1279" xr:uid="{00000000-0005-0000-0000-0000B8060000}"/>
    <cellStyle name="Comma 18 6 2 2" xfId="4133" xr:uid="{00000000-0005-0000-0000-0000B9060000}"/>
    <cellStyle name="Comma 18 6 3" xfId="1280" xr:uid="{00000000-0005-0000-0000-0000BA060000}"/>
    <cellStyle name="Comma 18 6 3 2" xfId="4134" xr:uid="{00000000-0005-0000-0000-0000BB060000}"/>
    <cellStyle name="Comma 18 6 4" xfId="4132" xr:uid="{00000000-0005-0000-0000-0000BC060000}"/>
    <cellStyle name="Comma 18 6 5" xfId="5308" xr:uid="{00000000-0005-0000-0000-0000BD060000}"/>
    <cellStyle name="Comma 18 7" xfId="1281" xr:uid="{00000000-0005-0000-0000-0000BE060000}"/>
    <cellStyle name="Comma 18 7 2" xfId="1282" xr:uid="{00000000-0005-0000-0000-0000BF060000}"/>
    <cellStyle name="Comma 18 7 2 2" xfId="4136" xr:uid="{00000000-0005-0000-0000-0000C0060000}"/>
    <cellStyle name="Comma 18 7 3" xfId="4135" xr:uid="{00000000-0005-0000-0000-0000C1060000}"/>
    <cellStyle name="Comma 18 7 4" xfId="5309" xr:uid="{00000000-0005-0000-0000-0000C2060000}"/>
    <cellStyle name="Comma 18 8" xfId="1283" xr:uid="{00000000-0005-0000-0000-0000C3060000}"/>
    <cellStyle name="Comma 18 8 2" xfId="1284" xr:uid="{00000000-0005-0000-0000-0000C4060000}"/>
    <cellStyle name="Comma 18 8 2 2" xfId="4138" xr:uid="{00000000-0005-0000-0000-0000C5060000}"/>
    <cellStyle name="Comma 18 8 3" xfId="4137" xr:uid="{00000000-0005-0000-0000-0000C6060000}"/>
    <cellStyle name="Comma 18 8 4" xfId="5310" xr:uid="{00000000-0005-0000-0000-0000C7060000}"/>
    <cellStyle name="Comma 18 9" xfId="1285" xr:uid="{00000000-0005-0000-0000-0000C8060000}"/>
    <cellStyle name="Comma 18 9 2" xfId="1286" xr:uid="{00000000-0005-0000-0000-0000C9060000}"/>
    <cellStyle name="Comma 18 9 2 2" xfId="1287" xr:uid="{00000000-0005-0000-0000-0000CA060000}"/>
    <cellStyle name="Comma 18 9 2 2 2" xfId="4141" xr:uid="{00000000-0005-0000-0000-0000CB060000}"/>
    <cellStyle name="Comma 18 9 2 3" xfId="4140" xr:uid="{00000000-0005-0000-0000-0000CC060000}"/>
    <cellStyle name="Comma 18 9 3" xfId="1288" xr:uid="{00000000-0005-0000-0000-0000CD060000}"/>
    <cellStyle name="Comma 18 9 3 2" xfId="4142" xr:uid="{00000000-0005-0000-0000-0000CE060000}"/>
    <cellStyle name="Comma 18 9 4" xfId="4139" xr:uid="{00000000-0005-0000-0000-0000CF060000}"/>
    <cellStyle name="Comma 19" xfId="1289" xr:uid="{00000000-0005-0000-0000-0000D0060000}"/>
    <cellStyle name="Comma 19 2" xfId="4143" xr:uid="{00000000-0005-0000-0000-0000D1060000}"/>
    <cellStyle name="Comma 2" xfId="420" xr:uid="{00000000-0005-0000-0000-0000D2060000}"/>
    <cellStyle name="Comma 2 10" xfId="1291" xr:uid="{00000000-0005-0000-0000-0000D3060000}"/>
    <cellStyle name="Comma 2 10 2" xfId="4144" xr:uid="{00000000-0005-0000-0000-0000D4060000}"/>
    <cellStyle name="Comma 2 11" xfId="1292" xr:uid="{00000000-0005-0000-0000-0000D5060000}"/>
    <cellStyle name="Comma 2 11 2" xfId="4145" xr:uid="{00000000-0005-0000-0000-0000D6060000}"/>
    <cellStyle name="Comma 2 12" xfId="1293" xr:uid="{00000000-0005-0000-0000-0000D7060000}"/>
    <cellStyle name="Comma 2 12 2" xfId="4146" xr:uid="{00000000-0005-0000-0000-0000D8060000}"/>
    <cellStyle name="Comma 2 13" xfId="1290" xr:uid="{00000000-0005-0000-0000-0000D9060000}"/>
    <cellStyle name="Comma 2 14" xfId="3902" xr:uid="{00000000-0005-0000-0000-0000DA060000}"/>
    <cellStyle name="Comma 2 15" xfId="5311" xr:uid="{00000000-0005-0000-0000-0000DB060000}"/>
    <cellStyle name="Comma 2 2" xfId="1294" xr:uid="{00000000-0005-0000-0000-0000DC060000}"/>
    <cellStyle name="Comma 2 2 10" xfId="4147" xr:uid="{00000000-0005-0000-0000-0000DD060000}"/>
    <cellStyle name="Comma 2 2 11" xfId="5312" xr:uid="{00000000-0005-0000-0000-0000DE060000}"/>
    <cellStyle name="Comma 2 2 2" xfId="1295" xr:uid="{00000000-0005-0000-0000-0000DF060000}"/>
    <cellStyle name="Comma 2 2 2 2" xfId="1296" xr:uid="{00000000-0005-0000-0000-0000E0060000}"/>
    <cellStyle name="Comma 2 2 2 2 2" xfId="1297" xr:uid="{00000000-0005-0000-0000-0000E1060000}"/>
    <cellStyle name="Comma 2 2 2 2 2 2" xfId="4150" xr:uid="{00000000-0005-0000-0000-0000E2060000}"/>
    <cellStyle name="Comma 2 2 2 2 3" xfId="4149" xr:uid="{00000000-0005-0000-0000-0000E3060000}"/>
    <cellStyle name="Comma 2 2 2 3" xfId="1298" xr:uid="{00000000-0005-0000-0000-0000E4060000}"/>
    <cellStyle name="Comma 2 2 2 3 2" xfId="4151" xr:uid="{00000000-0005-0000-0000-0000E5060000}"/>
    <cellStyle name="Comma 2 2 2 4" xfId="1299" xr:uid="{00000000-0005-0000-0000-0000E6060000}"/>
    <cellStyle name="Comma 2 2 2 4 2" xfId="4152" xr:uid="{00000000-0005-0000-0000-0000E7060000}"/>
    <cellStyle name="Comma 2 2 2 5" xfId="1300" xr:uid="{00000000-0005-0000-0000-0000E8060000}"/>
    <cellStyle name="Comma 2 2 2 5 2" xfId="4153" xr:uid="{00000000-0005-0000-0000-0000E9060000}"/>
    <cellStyle name="Comma 2 2 2 6" xfId="1301" xr:uid="{00000000-0005-0000-0000-0000EA060000}"/>
    <cellStyle name="Comma 2 2 2 6 2" xfId="4154" xr:uid="{00000000-0005-0000-0000-0000EB060000}"/>
    <cellStyle name="Comma 2 2 2 7" xfId="1302" xr:uid="{00000000-0005-0000-0000-0000EC060000}"/>
    <cellStyle name="Comma 2 2 2 7 2" xfId="4155" xr:uid="{00000000-0005-0000-0000-0000ED060000}"/>
    <cellStyle name="Comma 2 2 2 8" xfId="4148" xr:uid="{00000000-0005-0000-0000-0000EE060000}"/>
    <cellStyle name="Comma 2 2 2 9" xfId="5313" xr:uid="{00000000-0005-0000-0000-0000EF060000}"/>
    <cellStyle name="Comma 2 2 3" xfId="1303" xr:uid="{00000000-0005-0000-0000-0000F0060000}"/>
    <cellStyle name="Comma 2 2 3 2" xfId="1304" xr:uid="{00000000-0005-0000-0000-0000F1060000}"/>
    <cellStyle name="Comma 2 2 3 2 2" xfId="4157" xr:uid="{00000000-0005-0000-0000-0000F2060000}"/>
    <cellStyle name="Comma 2 2 3 3" xfId="4156" xr:uid="{00000000-0005-0000-0000-0000F3060000}"/>
    <cellStyle name="Comma 2 2 4" xfId="1305" xr:uid="{00000000-0005-0000-0000-0000F4060000}"/>
    <cellStyle name="Comma 2 2 4 2" xfId="4158" xr:uid="{00000000-0005-0000-0000-0000F5060000}"/>
    <cellStyle name="Comma 2 2 5" xfId="1306" xr:uid="{00000000-0005-0000-0000-0000F6060000}"/>
    <cellStyle name="Comma 2 2 5 2" xfId="4159" xr:uid="{00000000-0005-0000-0000-0000F7060000}"/>
    <cellStyle name="Comma 2 2 6" xfId="1307" xr:uid="{00000000-0005-0000-0000-0000F8060000}"/>
    <cellStyle name="Comma 2 2 6 2" xfId="4160" xr:uid="{00000000-0005-0000-0000-0000F9060000}"/>
    <cellStyle name="Comma 2 2 7" xfId="1308" xr:uid="{00000000-0005-0000-0000-0000FA060000}"/>
    <cellStyle name="Comma 2 2 7 2" xfId="4161" xr:uid="{00000000-0005-0000-0000-0000FB060000}"/>
    <cellStyle name="Comma 2 2 8" xfId="1309" xr:uid="{00000000-0005-0000-0000-0000FC060000}"/>
    <cellStyle name="Comma 2 2 8 2" xfId="4162" xr:uid="{00000000-0005-0000-0000-0000FD060000}"/>
    <cellStyle name="Comma 2 2 9" xfId="1310" xr:uid="{00000000-0005-0000-0000-0000FE060000}"/>
    <cellStyle name="Comma 2 2 9 2" xfId="4163" xr:uid="{00000000-0005-0000-0000-0000FF060000}"/>
    <cellStyle name="Comma 2 3" xfId="1311" xr:uid="{00000000-0005-0000-0000-000000070000}"/>
    <cellStyle name="Comma 2 3 10" xfId="5314" xr:uid="{00000000-0005-0000-0000-000001070000}"/>
    <cellStyle name="Comma 2 3 2" xfId="1312" xr:uid="{00000000-0005-0000-0000-000002070000}"/>
    <cellStyle name="Comma 2 3 2 2" xfId="1313" xr:uid="{00000000-0005-0000-0000-000003070000}"/>
    <cellStyle name="Comma 2 3 2 2 2" xfId="4166" xr:uid="{00000000-0005-0000-0000-000004070000}"/>
    <cellStyle name="Comma 2 3 2 3" xfId="4165" xr:uid="{00000000-0005-0000-0000-000005070000}"/>
    <cellStyle name="Comma 2 3 3" xfId="1314" xr:uid="{00000000-0005-0000-0000-000006070000}"/>
    <cellStyle name="Comma 2 3 3 2" xfId="4167" xr:uid="{00000000-0005-0000-0000-000007070000}"/>
    <cellStyle name="Comma 2 3 4" xfId="1315" xr:uid="{00000000-0005-0000-0000-000008070000}"/>
    <cellStyle name="Comma 2 3 4 2" xfId="4168" xr:uid="{00000000-0005-0000-0000-000009070000}"/>
    <cellStyle name="Comma 2 3 5" xfId="1316" xr:uid="{00000000-0005-0000-0000-00000A070000}"/>
    <cellStyle name="Comma 2 3 5 2" xfId="4169" xr:uid="{00000000-0005-0000-0000-00000B070000}"/>
    <cellStyle name="Comma 2 3 6" xfId="1317" xr:uid="{00000000-0005-0000-0000-00000C070000}"/>
    <cellStyle name="Comma 2 3 6 2" xfId="4170" xr:uid="{00000000-0005-0000-0000-00000D070000}"/>
    <cellStyle name="Comma 2 3 7" xfId="1318" xr:uid="{00000000-0005-0000-0000-00000E070000}"/>
    <cellStyle name="Comma 2 3 7 2" xfId="4171" xr:uid="{00000000-0005-0000-0000-00000F070000}"/>
    <cellStyle name="Comma 2 3 8" xfId="1319" xr:uid="{00000000-0005-0000-0000-000010070000}"/>
    <cellStyle name="Comma 2 3 8 2" xfId="4172" xr:uid="{00000000-0005-0000-0000-000011070000}"/>
    <cellStyle name="Comma 2 3 9" xfId="4164" xr:uid="{00000000-0005-0000-0000-000012070000}"/>
    <cellStyle name="Comma 2 4" xfId="1320" xr:uid="{00000000-0005-0000-0000-000013070000}"/>
    <cellStyle name="Comma 2 4 2" xfId="1321" xr:uid="{00000000-0005-0000-0000-000014070000}"/>
    <cellStyle name="Comma 2 4 2 2" xfId="1322" xr:uid="{00000000-0005-0000-0000-000015070000}"/>
    <cellStyle name="Comma 2 4 2 2 2" xfId="4175" xr:uid="{00000000-0005-0000-0000-000016070000}"/>
    <cellStyle name="Comma 2 4 2 3" xfId="4174" xr:uid="{00000000-0005-0000-0000-000017070000}"/>
    <cellStyle name="Comma 2 4 3" xfId="1323" xr:uid="{00000000-0005-0000-0000-000018070000}"/>
    <cellStyle name="Comma 2 4 3 2" xfId="4176" xr:uid="{00000000-0005-0000-0000-000019070000}"/>
    <cellStyle name="Comma 2 4 4" xfId="1324" xr:uid="{00000000-0005-0000-0000-00001A070000}"/>
    <cellStyle name="Comma 2 4 4 2" xfId="4177" xr:uid="{00000000-0005-0000-0000-00001B070000}"/>
    <cellStyle name="Comma 2 4 5" xfId="1325" xr:uid="{00000000-0005-0000-0000-00001C070000}"/>
    <cellStyle name="Comma 2 4 5 2" xfId="4178" xr:uid="{00000000-0005-0000-0000-00001D070000}"/>
    <cellStyle name="Comma 2 4 6" xfId="1326" xr:uid="{00000000-0005-0000-0000-00001E070000}"/>
    <cellStyle name="Comma 2 4 6 2" xfId="4179" xr:uid="{00000000-0005-0000-0000-00001F070000}"/>
    <cellStyle name="Comma 2 4 7" xfId="1327" xr:uid="{00000000-0005-0000-0000-000020070000}"/>
    <cellStyle name="Comma 2 4 7 2" xfId="4180" xr:uid="{00000000-0005-0000-0000-000021070000}"/>
    <cellStyle name="Comma 2 4 8" xfId="4173" xr:uid="{00000000-0005-0000-0000-000022070000}"/>
    <cellStyle name="Comma 2 4 9" xfId="5315" xr:uid="{00000000-0005-0000-0000-000023070000}"/>
    <cellStyle name="Comma 2 5" xfId="1328" xr:uid="{00000000-0005-0000-0000-000024070000}"/>
    <cellStyle name="Comma 2 5 2" xfId="1329" xr:uid="{00000000-0005-0000-0000-000025070000}"/>
    <cellStyle name="Comma 2 5 2 2" xfId="4181" xr:uid="{00000000-0005-0000-0000-000026070000}"/>
    <cellStyle name="Comma 2 5 3" xfId="1330" xr:uid="{00000000-0005-0000-0000-000027070000}"/>
    <cellStyle name="Comma 2 5 3 2" xfId="4182" xr:uid="{00000000-0005-0000-0000-000028070000}"/>
    <cellStyle name="Comma 2 6" xfId="1331" xr:uid="{00000000-0005-0000-0000-000029070000}"/>
    <cellStyle name="Comma 2 6 2" xfId="4183" xr:uid="{00000000-0005-0000-0000-00002A070000}"/>
    <cellStyle name="Comma 2 7" xfId="1332" xr:uid="{00000000-0005-0000-0000-00002B070000}"/>
    <cellStyle name="Comma 2 7 2" xfId="4184" xr:uid="{00000000-0005-0000-0000-00002C070000}"/>
    <cellStyle name="Comma 2 8" xfId="1333" xr:uid="{00000000-0005-0000-0000-00002D070000}"/>
    <cellStyle name="Comma 2 8 2" xfId="4185" xr:uid="{00000000-0005-0000-0000-00002E070000}"/>
    <cellStyle name="Comma 2 9" xfId="1334" xr:uid="{00000000-0005-0000-0000-00002F070000}"/>
    <cellStyle name="Comma 2 9 2" xfId="4186" xr:uid="{00000000-0005-0000-0000-000030070000}"/>
    <cellStyle name="Comma 20" xfId="1335" xr:uid="{00000000-0005-0000-0000-000031070000}"/>
    <cellStyle name="Comma 20 2" xfId="4187" xr:uid="{00000000-0005-0000-0000-000032070000}"/>
    <cellStyle name="Comma 21" xfId="1336" xr:uid="{00000000-0005-0000-0000-000033070000}"/>
    <cellStyle name="Comma 21 2" xfId="4188" xr:uid="{00000000-0005-0000-0000-000034070000}"/>
    <cellStyle name="Comma 22" xfId="1337" xr:uid="{00000000-0005-0000-0000-000035070000}"/>
    <cellStyle name="Comma 22 2" xfId="4189" xr:uid="{00000000-0005-0000-0000-000036070000}"/>
    <cellStyle name="Comma 23" xfId="1338" xr:uid="{00000000-0005-0000-0000-000037070000}"/>
    <cellStyle name="Comma 23 2" xfId="4190" xr:uid="{00000000-0005-0000-0000-000038070000}"/>
    <cellStyle name="Comma 24" xfId="1339" xr:uid="{00000000-0005-0000-0000-000039070000}"/>
    <cellStyle name="Comma 24 2" xfId="4191" xr:uid="{00000000-0005-0000-0000-00003A070000}"/>
    <cellStyle name="Comma 25" xfId="1340" xr:uid="{00000000-0005-0000-0000-00003B070000}"/>
    <cellStyle name="Comma 25 2" xfId="4192" xr:uid="{00000000-0005-0000-0000-00003C070000}"/>
    <cellStyle name="Comma 26" xfId="1341" xr:uid="{00000000-0005-0000-0000-00003D070000}"/>
    <cellStyle name="Comma 26 2" xfId="4193" xr:uid="{00000000-0005-0000-0000-00003E070000}"/>
    <cellStyle name="Comma 27" xfId="1342" xr:uid="{00000000-0005-0000-0000-00003F070000}"/>
    <cellStyle name="Comma 27 2" xfId="4194" xr:uid="{00000000-0005-0000-0000-000040070000}"/>
    <cellStyle name="Comma 28" xfId="1343" xr:uid="{00000000-0005-0000-0000-000041070000}"/>
    <cellStyle name="Comma 28 2" xfId="4195" xr:uid="{00000000-0005-0000-0000-000042070000}"/>
    <cellStyle name="Comma 29" xfId="1344" xr:uid="{00000000-0005-0000-0000-000043070000}"/>
    <cellStyle name="Comma 29 2" xfId="4196" xr:uid="{00000000-0005-0000-0000-000044070000}"/>
    <cellStyle name="Comma 3" xfId="1345" xr:uid="{00000000-0005-0000-0000-000045070000}"/>
    <cellStyle name="Comma 3 10" xfId="1346" xr:uid="{00000000-0005-0000-0000-000046070000}"/>
    <cellStyle name="Comma 3 10 2" xfId="4197" xr:uid="{00000000-0005-0000-0000-000047070000}"/>
    <cellStyle name="Comma 3 11" xfId="5316" xr:uid="{00000000-0005-0000-0000-000048070000}"/>
    <cellStyle name="Comma 3 2" xfId="1347" xr:uid="{00000000-0005-0000-0000-000049070000}"/>
    <cellStyle name="Comma 3 2 2" xfId="1348" xr:uid="{00000000-0005-0000-0000-00004A070000}"/>
    <cellStyle name="Comma 3 2 2 2" xfId="1349" xr:uid="{00000000-0005-0000-0000-00004B070000}"/>
    <cellStyle name="Comma 3 2 2 2 2" xfId="4200" xr:uid="{00000000-0005-0000-0000-00004C070000}"/>
    <cellStyle name="Comma 3 2 2 3" xfId="4199" xr:uid="{00000000-0005-0000-0000-00004D070000}"/>
    <cellStyle name="Comma 3 2 3" xfId="1350" xr:uid="{00000000-0005-0000-0000-00004E070000}"/>
    <cellStyle name="Comma 3 2 3 2" xfId="4201" xr:uid="{00000000-0005-0000-0000-00004F070000}"/>
    <cellStyle name="Comma 3 2 4" xfId="1351" xr:uid="{00000000-0005-0000-0000-000050070000}"/>
    <cellStyle name="Comma 3 2 4 2" xfId="4202" xr:uid="{00000000-0005-0000-0000-000051070000}"/>
    <cellStyle name="Comma 3 2 5" xfId="1352" xr:uid="{00000000-0005-0000-0000-000052070000}"/>
    <cellStyle name="Comma 3 2 5 2" xfId="4203" xr:uid="{00000000-0005-0000-0000-000053070000}"/>
    <cellStyle name="Comma 3 2 6" xfId="1353" xr:uid="{00000000-0005-0000-0000-000054070000}"/>
    <cellStyle name="Comma 3 2 6 2" xfId="4204" xr:uid="{00000000-0005-0000-0000-000055070000}"/>
    <cellStyle name="Comma 3 2 7" xfId="1354" xr:uid="{00000000-0005-0000-0000-000056070000}"/>
    <cellStyle name="Comma 3 2 7 2" xfId="4205" xr:uid="{00000000-0005-0000-0000-000057070000}"/>
    <cellStyle name="Comma 3 2 8" xfId="4198" xr:uid="{00000000-0005-0000-0000-000058070000}"/>
    <cellStyle name="Comma 3 2 9" xfId="5317" xr:uid="{00000000-0005-0000-0000-000059070000}"/>
    <cellStyle name="Comma 3 3" xfId="1355" xr:uid="{00000000-0005-0000-0000-00005A070000}"/>
    <cellStyle name="Comma 3 3 2" xfId="1356" xr:uid="{00000000-0005-0000-0000-00005B070000}"/>
    <cellStyle name="Comma 3 3 2 2" xfId="4206" xr:uid="{00000000-0005-0000-0000-00005C070000}"/>
    <cellStyle name="Comma 3 3 3" xfId="1357" xr:uid="{00000000-0005-0000-0000-00005D070000}"/>
    <cellStyle name="Comma 3 3 3 2" xfId="4207" xr:uid="{00000000-0005-0000-0000-00005E070000}"/>
    <cellStyle name="Comma 3 4" xfId="1358" xr:uid="{00000000-0005-0000-0000-00005F070000}"/>
    <cellStyle name="Comma 3 4 2" xfId="4208" xr:uid="{00000000-0005-0000-0000-000060070000}"/>
    <cellStyle name="Comma 3 5" xfId="1359" xr:uid="{00000000-0005-0000-0000-000061070000}"/>
    <cellStyle name="Comma 3 5 2" xfId="4209" xr:uid="{00000000-0005-0000-0000-000062070000}"/>
    <cellStyle name="Comma 3 6" xfId="1360" xr:uid="{00000000-0005-0000-0000-000063070000}"/>
    <cellStyle name="Comma 3 6 2" xfId="4210" xr:uid="{00000000-0005-0000-0000-000064070000}"/>
    <cellStyle name="Comma 3 7" xfId="1361" xr:uid="{00000000-0005-0000-0000-000065070000}"/>
    <cellStyle name="Comma 3 7 2" xfId="4211" xr:uid="{00000000-0005-0000-0000-000066070000}"/>
    <cellStyle name="Comma 3 8" xfId="1362" xr:uid="{00000000-0005-0000-0000-000067070000}"/>
    <cellStyle name="Comma 3 8 2" xfId="4212" xr:uid="{00000000-0005-0000-0000-000068070000}"/>
    <cellStyle name="Comma 3 9" xfId="1363" xr:uid="{00000000-0005-0000-0000-000069070000}"/>
    <cellStyle name="Comma 3 9 2" xfId="4213" xr:uid="{00000000-0005-0000-0000-00006A070000}"/>
    <cellStyle name="Comma 30" xfId="1364" xr:uid="{00000000-0005-0000-0000-00006B070000}"/>
    <cellStyle name="Comma 30 2" xfId="4214" xr:uid="{00000000-0005-0000-0000-00006C070000}"/>
    <cellStyle name="Comma 31" xfId="1365" xr:uid="{00000000-0005-0000-0000-00006D070000}"/>
    <cellStyle name="Comma 31 2" xfId="4215" xr:uid="{00000000-0005-0000-0000-00006E070000}"/>
    <cellStyle name="Comma 32" xfId="1366" xr:uid="{00000000-0005-0000-0000-00006F070000}"/>
    <cellStyle name="Comma 32 2" xfId="4216" xr:uid="{00000000-0005-0000-0000-000070070000}"/>
    <cellStyle name="Comma 33" xfId="1367" xr:uid="{00000000-0005-0000-0000-000071070000}"/>
    <cellStyle name="Comma 33 2" xfId="4217" xr:uid="{00000000-0005-0000-0000-000072070000}"/>
    <cellStyle name="Comma 34" xfId="1368" xr:uid="{00000000-0005-0000-0000-000073070000}"/>
    <cellStyle name="Comma 34 2" xfId="4218" xr:uid="{00000000-0005-0000-0000-000074070000}"/>
    <cellStyle name="Comma 35" xfId="1369" xr:uid="{00000000-0005-0000-0000-000075070000}"/>
    <cellStyle name="Comma 35 2" xfId="4219" xr:uid="{00000000-0005-0000-0000-000076070000}"/>
    <cellStyle name="Comma 36" xfId="1370" xr:uid="{00000000-0005-0000-0000-000077070000}"/>
    <cellStyle name="Comma 36 2" xfId="4220" xr:uid="{00000000-0005-0000-0000-000078070000}"/>
    <cellStyle name="Comma 37" xfId="1371" xr:uid="{00000000-0005-0000-0000-000079070000}"/>
    <cellStyle name="Comma 37 2" xfId="4221" xr:uid="{00000000-0005-0000-0000-00007A070000}"/>
    <cellStyle name="Comma 38" xfId="1372" xr:uid="{00000000-0005-0000-0000-00007B070000}"/>
    <cellStyle name="Comma 38 2" xfId="4222" xr:uid="{00000000-0005-0000-0000-00007C070000}"/>
    <cellStyle name="Comma 39" xfId="1373" xr:uid="{00000000-0005-0000-0000-00007D070000}"/>
    <cellStyle name="Comma 39 2" xfId="4223" xr:uid="{00000000-0005-0000-0000-00007E070000}"/>
    <cellStyle name="Comma 4" xfId="1374" xr:uid="{00000000-0005-0000-0000-00007F070000}"/>
    <cellStyle name="Comma 4 10" xfId="1375" xr:uid="{00000000-0005-0000-0000-000080070000}"/>
    <cellStyle name="Comma 4 10 2" xfId="1376" xr:uid="{00000000-0005-0000-0000-000081070000}"/>
    <cellStyle name="Comma 4 10 2 2" xfId="4226" xr:uid="{00000000-0005-0000-0000-000082070000}"/>
    <cellStyle name="Comma 4 10 3" xfId="4225" xr:uid="{00000000-0005-0000-0000-000083070000}"/>
    <cellStyle name="Comma 4 11" xfId="1377" xr:uid="{00000000-0005-0000-0000-000084070000}"/>
    <cellStyle name="Comma 4 11 2" xfId="4227" xr:uid="{00000000-0005-0000-0000-000085070000}"/>
    <cellStyle name="Comma 4 12" xfId="1378" xr:uid="{00000000-0005-0000-0000-000086070000}"/>
    <cellStyle name="Comma 4 12 2" xfId="4228" xr:uid="{00000000-0005-0000-0000-000087070000}"/>
    <cellStyle name="Comma 4 13" xfId="1379" xr:uid="{00000000-0005-0000-0000-000088070000}"/>
    <cellStyle name="Comma 4 13 2" xfId="4229" xr:uid="{00000000-0005-0000-0000-000089070000}"/>
    <cellStyle name="Comma 4 14" xfId="1380" xr:uid="{00000000-0005-0000-0000-00008A070000}"/>
    <cellStyle name="Comma 4 14 2" xfId="4230" xr:uid="{00000000-0005-0000-0000-00008B070000}"/>
    <cellStyle name="Comma 4 15" xfId="1381" xr:uid="{00000000-0005-0000-0000-00008C070000}"/>
    <cellStyle name="Comma 4 15 2" xfId="4231" xr:uid="{00000000-0005-0000-0000-00008D070000}"/>
    <cellStyle name="Comma 4 16" xfId="1382" xr:uid="{00000000-0005-0000-0000-00008E070000}"/>
    <cellStyle name="Comma 4 16 2" xfId="4232" xr:uid="{00000000-0005-0000-0000-00008F070000}"/>
    <cellStyle name="Comma 4 17" xfId="1383" xr:uid="{00000000-0005-0000-0000-000090070000}"/>
    <cellStyle name="Comma 4 17 2" xfId="4233" xr:uid="{00000000-0005-0000-0000-000091070000}"/>
    <cellStyle name="Comma 4 18" xfId="1384" xr:uid="{00000000-0005-0000-0000-000092070000}"/>
    <cellStyle name="Comma 4 18 2" xfId="4234" xr:uid="{00000000-0005-0000-0000-000093070000}"/>
    <cellStyle name="Comma 4 19" xfId="4224" xr:uid="{00000000-0005-0000-0000-000094070000}"/>
    <cellStyle name="Comma 4 2" xfId="1385" xr:uid="{00000000-0005-0000-0000-000095070000}"/>
    <cellStyle name="Comma 4 2 10" xfId="5319" xr:uid="{00000000-0005-0000-0000-000096070000}"/>
    <cellStyle name="Comma 4 2 2" xfId="1386" xr:uid="{00000000-0005-0000-0000-000097070000}"/>
    <cellStyle name="Comma 4 2 2 2" xfId="1387" xr:uid="{00000000-0005-0000-0000-000098070000}"/>
    <cellStyle name="Comma 4 2 2 2 2" xfId="4237" xr:uid="{00000000-0005-0000-0000-000099070000}"/>
    <cellStyle name="Comma 4 2 2 3" xfId="4236" xr:uid="{00000000-0005-0000-0000-00009A070000}"/>
    <cellStyle name="Comma 4 2 3" xfId="1388" xr:uid="{00000000-0005-0000-0000-00009B070000}"/>
    <cellStyle name="Comma 4 2 3 2" xfId="4238" xr:uid="{00000000-0005-0000-0000-00009C070000}"/>
    <cellStyle name="Comma 4 2 4" xfId="1389" xr:uid="{00000000-0005-0000-0000-00009D070000}"/>
    <cellStyle name="Comma 4 2 4 2" xfId="4239" xr:uid="{00000000-0005-0000-0000-00009E070000}"/>
    <cellStyle name="Comma 4 2 5" xfId="1390" xr:uid="{00000000-0005-0000-0000-00009F070000}"/>
    <cellStyle name="Comma 4 2 5 2" xfId="4240" xr:uid="{00000000-0005-0000-0000-0000A0070000}"/>
    <cellStyle name="Comma 4 2 6" xfId="1391" xr:uid="{00000000-0005-0000-0000-0000A1070000}"/>
    <cellStyle name="Comma 4 2 6 2" xfId="4241" xr:uid="{00000000-0005-0000-0000-0000A2070000}"/>
    <cellStyle name="Comma 4 2 7" xfId="1392" xr:uid="{00000000-0005-0000-0000-0000A3070000}"/>
    <cellStyle name="Comma 4 2 7 2" xfId="4242" xr:uid="{00000000-0005-0000-0000-0000A4070000}"/>
    <cellStyle name="Comma 4 2 8" xfId="1393" xr:uid="{00000000-0005-0000-0000-0000A5070000}"/>
    <cellStyle name="Comma 4 2 8 2" xfId="4243" xr:uid="{00000000-0005-0000-0000-0000A6070000}"/>
    <cellStyle name="Comma 4 2 9" xfId="4235" xr:uid="{00000000-0005-0000-0000-0000A7070000}"/>
    <cellStyle name="Comma 4 20" xfId="5318" xr:uid="{00000000-0005-0000-0000-0000A8070000}"/>
    <cellStyle name="Comma 4 3" xfId="1394" xr:uid="{00000000-0005-0000-0000-0000A9070000}"/>
    <cellStyle name="Comma 4 3 2" xfId="1395" xr:uid="{00000000-0005-0000-0000-0000AA070000}"/>
    <cellStyle name="Comma 4 3 2 2" xfId="1396" xr:uid="{00000000-0005-0000-0000-0000AB070000}"/>
    <cellStyle name="Comma 4 3 2 2 2" xfId="4246" xr:uid="{00000000-0005-0000-0000-0000AC070000}"/>
    <cellStyle name="Comma 4 3 2 3" xfId="4245" xr:uid="{00000000-0005-0000-0000-0000AD070000}"/>
    <cellStyle name="Comma 4 3 3" xfId="1397" xr:uid="{00000000-0005-0000-0000-0000AE070000}"/>
    <cellStyle name="Comma 4 3 3 2" xfId="4247" xr:uid="{00000000-0005-0000-0000-0000AF070000}"/>
    <cellStyle name="Comma 4 3 4" xfId="1398" xr:uid="{00000000-0005-0000-0000-0000B0070000}"/>
    <cellStyle name="Comma 4 3 4 2" xfId="4248" xr:uid="{00000000-0005-0000-0000-0000B1070000}"/>
    <cellStyle name="Comma 4 3 5" xfId="1399" xr:uid="{00000000-0005-0000-0000-0000B2070000}"/>
    <cellStyle name="Comma 4 3 5 2" xfId="4249" xr:uid="{00000000-0005-0000-0000-0000B3070000}"/>
    <cellStyle name="Comma 4 3 6" xfId="1400" xr:uid="{00000000-0005-0000-0000-0000B4070000}"/>
    <cellStyle name="Comma 4 3 6 2" xfId="4250" xr:uid="{00000000-0005-0000-0000-0000B5070000}"/>
    <cellStyle name="Comma 4 3 7" xfId="1401" xr:uid="{00000000-0005-0000-0000-0000B6070000}"/>
    <cellStyle name="Comma 4 3 7 2" xfId="4251" xr:uid="{00000000-0005-0000-0000-0000B7070000}"/>
    <cellStyle name="Comma 4 3 8" xfId="4244" xr:uid="{00000000-0005-0000-0000-0000B8070000}"/>
    <cellStyle name="Comma 4 3 9" xfId="5320" xr:uid="{00000000-0005-0000-0000-0000B9070000}"/>
    <cellStyle name="Comma 4 4" xfId="1402" xr:uid="{00000000-0005-0000-0000-0000BA070000}"/>
    <cellStyle name="Comma 4 4 2" xfId="1403" xr:uid="{00000000-0005-0000-0000-0000BB070000}"/>
    <cellStyle name="Comma 4 4 2 2" xfId="1404" xr:uid="{00000000-0005-0000-0000-0000BC070000}"/>
    <cellStyle name="Comma 4 4 2 2 2" xfId="4254" xr:uid="{00000000-0005-0000-0000-0000BD070000}"/>
    <cellStyle name="Comma 4 4 2 3" xfId="4253" xr:uid="{00000000-0005-0000-0000-0000BE070000}"/>
    <cellStyle name="Comma 4 4 3" xfId="1405" xr:uid="{00000000-0005-0000-0000-0000BF070000}"/>
    <cellStyle name="Comma 4 4 3 2" xfId="4255" xr:uid="{00000000-0005-0000-0000-0000C0070000}"/>
    <cellStyle name="Comma 4 4 4" xfId="1406" xr:uid="{00000000-0005-0000-0000-0000C1070000}"/>
    <cellStyle name="Comma 4 4 4 2" xfId="4256" xr:uid="{00000000-0005-0000-0000-0000C2070000}"/>
    <cellStyle name="Comma 4 4 5" xfId="1407" xr:uid="{00000000-0005-0000-0000-0000C3070000}"/>
    <cellStyle name="Comma 4 4 5 2" xfId="4257" xr:uid="{00000000-0005-0000-0000-0000C4070000}"/>
    <cellStyle name="Comma 4 4 6" xfId="1408" xr:uid="{00000000-0005-0000-0000-0000C5070000}"/>
    <cellStyle name="Comma 4 4 6 2" xfId="4258" xr:uid="{00000000-0005-0000-0000-0000C6070000}"/>
    <cellStyle name="Comma 4 4 7" xfId="1409" xr:uid="{00000000-0005-0000-0000-0000C7070000}"/>
    <cellStyle name="Comma 4 4 7 2" xfId="4259" xr:uid="{00000000-0005-0000-0000-0000C8070000}"/>
    <cellStyle name="Comma 4 4 8" xfId="4252" xr:uid="{00000000-0005-0000-0000-0000C9070000}"/>
    <cellStyle name="Comma 4 4 9" xfId="5321" xr:uid="{00000000-0005-0000-0000-0000CA070000}"/>
    <cellStyle name="Comma 4 5" xfId="1410" xr:uid="{00000000-0005-0000-0000-0000CB070000}"/>
    <cellStyle name="Comma 4 5 2" xfId="1411" xr:uid="{00000000-0005-0000-0000-0000CC070000}"/>
    <cellStyle name="Comma 4 5 2 2" xfId="1412" xr:uid="{00000000-0005-0000-0000-0000CD070000}"/>
    <cellStyle name="Comma 4 5 2 2 2" xfId="4262" xr:uid="{00000000-0005-0000-0000-0000CE070000}"/>
    <cellStyle name="Comma 4 5 2 3" xfId="4261" xr:uid="{00000000-0005-0000-0000-0000CF070000}"/>
    <cellStyle name="Comma 4 5 3" xfId="1413" xr:uid="{00000000-0005-0000-0000-0000D0070000}"/>
    <cellStyle name="Comma 4 5 3 2" xfId="1414" xr:uid="{00000000-0005-0000-0000-0000D1070000}"/>
    <cellStyle name="Comma 4 5 3 2 2" xfId="4264" xr:uid="{00000000-0005-0000-0000-0000D2070000}"/>
    <cellStyle name="Comma 4 5 3 3" xfId="1415" xr:uid="{00000000-0005-0000-0000-0000D3070000}"/>
    <cellStyle name="Comma 4 5 3 3 2" xfId="4265" xr:uid="{00000000-0005-0000-0000-0000D4070000}"/>
    <cellStyle name="Comma 4 5 3 4" xfId="4263" xr:uid="{00000000-0005-0000-0000-0000D5070000}"/>
    <cellStyle name="Comma 4 5 4" xfId="1416" xr:uid="{00000000-0005-0000-0000-0000D6070000}"/>
    <cellStyle name="Comma 4 5 4 2" xfId="4266" xr:uid="{00000000-0005-0000-0000-0000D7070000}"/>
    <cellStyle name="Comma 4 5 5" xfId="1417" xr:uid="{00000000-0005-0000-0000-0000D8070000}"/>
    <cellStyle name="Comma 4 5 5 2" xfId="4267" xr:uid="{00000000-0005-0000-0000-0000D9070000}"/>
    <cellStyle name="Comma 4 5 6" xfId="1418" xr:uid="{00000000-0005-0000-0000-0000DA070000}"/>
    <cellStyle name="Comma 4 5 6 2" xfId="4268" xr:uid="{00000000-0005-0000-0000-0000DB070000}"/>
    <cellStyle name="Comma 4 5 7" xfId="1419" xr:uid="{00000000-0005-0000-0000-0000DC070000}"/>
    <cellStyle name="Comma 4 5 7 2" xfId="4269" xr:uid="{00000000-0005-0000-0000-0000DD070000}"/>
    <cellStyle name="Comma 4 5 8" xfId="4260" xr:uid="{00000000-0005-0000-0000-0000DE070000}"/>
    <cellStyle name="Comma 4 6" xfId="1420" xr:uid="{00000000-0005-0000-0000-0000DF070000}"/>
    <cellStyle name="Comma 4 6 2" xfId="1421" xr:uid="{00000000-0005-0000-0000-0000E0070000}"/>
    <cellStyle name="Comma 4 6 2 2" xfId="4271" xr:uid="{00000000-0005-0000-0000-0000E1070000}"/>
    <cellStyle name="Comma 4 6 3" xfId="4270" xr:uid="{00000000-0005-0000-0000-0000E2070000}"/>
    <cellStyle name="Comma 4 7" xfId="1422" xr:uid="{00000000-0005-0000-0000-0000E3070000}"/>
    <cellStyle name="Comma 4 7 2" xfId="1423" xr:uid="{00000000-0005-0000-0000-0000E4070000}"/>
    <cellStyle name="Comma 4 7 2 2" xfId="4273" xr:uid="{00000000-0005-0000-0000-0000E5070000}"/>
    <cellStyle name="Comma 4 7 3" xfId="4272" xr:uid="{00000000-0005-0000-0000-0000E6070000}"/>
    <cellStyle name="Comma 4 8" xfId="1424" xr:uid="{00000000-0005-0000-0000-0000E7070000}"/>
    <cellStyle name="Comma 4 8 2" xfId="1425" xr:uid="{00000000-0005-0000-0000-0000E8070000}"/>
    <cellStyle name="Comma 4 8 2 2" xfId="4275" xr:uid="{00000000-0005-0000-0000-0000E9070000}"/>
    <cellStyle name="Comma 4 8 3" xfId="4274" xr:uid="{00000000-0005-0000-0000-0000EA070000}"/>
    <cellStyle name="Comma 4 9" xfId="1426" xr:uid="{00000000-0005-0000-0000-0000EB070000}"/>
    <cellStyle name="Comma 4 9 2" xfId="1427" xr:uid="{00000000-0005-0000-0000-0000EC070000}"/>
    <cellStyle name="Comma 4 9 2 2" xfId="4277" xr:uid="{00000000-0005-0000-0000-0000ED070000}"/>
    <cellStyle name="Comma 4 9 3" xfId="4276" xr:uid="{00000000-0005-0000-0000-0000EE070000}"/>
    <cellStyle name="Comma 40" xfId="1428" xr:uid="{00000000-0005-0000-0000-0000EF070000}"/>
    <cellStyle name="Comma 40 2" xfId="4278" xr:uid="{00000000-0005-0000-0000-0000F0070000}"/>
    <cellStyle name="Comma 41" xfId="1429" xr:uid="{00000000-0005-0000-0000-0000F1070000}"/>
    <cellStyle name="Comma 41 2" xfId="4279" xr:uid="{00000000-0005-0000-0000-0000F2070000}"/>
    <cellStyle name="Comma 42" xfId="1430" xr:uid="{00000000-0005-0000-0000-0000F3070000}"/>
    <cellStyle name="Comma 42 2" xfId="4280" xr:uid="{00000000-0005-0000-0000-0000F4070000}"/>
    <cellStyle name="Comma 43" xfId="1431" xr:uid="{00000000-0005-0000-0000-0000F5070000}"/>
    <cellStyle name="Comma 43 2" xfId="4281" xr:uid="{00000000-0005-0000-0000-0000F6070000}"/>
    <cellStyle name="Comma 44" xfId="1432" xr:uid="{00000000-0005-0000-0000-0000F7070000}"/>
    <cellStyle name="Comma 44 2" xfId="4282" xr:uid="{00000000-0005-0000-0000-0000F8070000}"/>
    <cellStyle name="Comma 45" xfId="1433" xr:uid="{00000000-0005-0000-0000-0000F9070000}"/>
    <cellStyle name="Comma 45 2" xfId="4283" xr:uid="{00000000-0005-0000-0000-0000FA070000}"/>
    <cellStyle name="Comma 46" xfId="1434" xr:uid="{00000000-0005-0000-0000-0000FB070000}"/>
    <cellStyle name="Comma 46 2" xfId="4284" xr:uid="{00000000-0005-0000-0000-0000FC070000}"/>
    <cellStyle name="Comma 47" xfId="1435" xr:uid="{00000000-0005-0000-0000-0000FD070000}"/>
    <cellStyle name="Comma 47 2" xfId="4285" xr:uid="{00000000-0005-0000-0000-0000FE070000}"/>
    <cellStyle name="Comma 48" xfId="3888" xr:uid="{00000000-0005-0000-0000-0000FF070000}"/>
    <cellStyle name="Comma 48 2" xfId="4761" xr:uid="{00000000-0005-0000-0000-000000080000}"/>
    <cellStyle name="Comma 49" xfId="3890" xr:uid="{00000000-0005-0000-0000-000001080000}"/>
    <cellStyle name="Comma 49 2" xfId="4763" xr:uid="{00000000-0005-0000-0000-000002080000}"/>
    <cellStyle name="Comma 5" xfId="1436" xr:uid="{00000000-0005-0000-0000-000003080000}"/>
    <cellStyle name="Comma 5 10" xfId="1437" xr:uid="{00000000-0005-0000-0000-000004080000}"/>
    <cellStyle name="Comma 5 10 2" xfId="4287" xr:uid="{00000000-0005-0000-0000-000005080000}"/>
    <cellStyle name="Comma 5 11" xfId="1438" xr:uid="{00000000-0005-0000-0000-000006080000}"/>
    <cellStyle name="Comma 5 11 2" xfId="4288" xr:uid="{00000000-0005-0000-0000-000007080000}"/>
    <cellStyle name="Comma 5 12" xfId="4286" xr:uid="{00000000-0005-0000-0000-000008080000}"/>
    <cellStyle name="Comma 5 13" xfId="5322" xr:uid="{00000000-0005-0000-0000-000009080000}"/>
    <cellStyle name="Comma 5 2" xfId="1439" xr:uid="{00000000-0005-0000-0000-00000A080000}"/>
    <cellStyle name="Comma 5 2 10" xfId="5323" xr:uid="{00000000-0005-0000-0000-00000B080000}"/>
    <cellStyle name="Comma 5 2 2" xfId="1440" xr:uid="{00000000-0005-0000-0000-00000C080000}"/>
    <cellStyle name="Comma 5 2 2 2" xfId="1441" xr:uid="{00000000-0005-0000-0000-00000D080000}"/>
    <cellStyle name="Comma 5 2 2 2 2" xfId="4291" xr:uid="{00000000-0005-0000-0000-00000E080000}"/>
    <cellStyle name="Comma 5 2 2 3" xfId="4290" xr:uid="{00000000-0005-0000-0000-00000F080000}"/>
    <cellStyle name="Comma 5 2 3" xfId="1442" xr:uid="{00000000-0005-0000-0000-000010080000}"/>
    <cellStyle name="Comma 5 2 3 2" xfId="4292" xr:uid="{00000000-0005-0000-0000-000011080000}"/>
    <cellStyle name="Comma 5 2 4" xfId="1443" xr:uid="{00000000-0005-0000-0000-000012080000}"/>
    <cellStyle name="Comma 5 2 4 2" xfId="4293" xr:uid="{00000000-0005-0000-0000-000013080000}"/>
    <cellStyle name="Comma 5 2 5" xfId="1444" xr:uid="{00000000-0005-0000-0000-000014080000}"/>
    <cellStyle name="Comma 5 2 5 2" xfId="4294" xr:uid="{00000000-0005-0000-0000-000015080000}"/>
    <cellStyle name="Comma 5 2 6" xfId="1445" xr:uid="{00000000-0005-0000-0000-000016080000}"/>
    <cellStyle name="Comma 5 2 6 2" xfId="4295" xr:uid="{00000000-0005-0000-0000-000017080000}"/>
    <cellStyle name="Comma 5 2 7" xfId="1446" xr:uid="{00000000-0005-0000-0000-000018080000}"/>
    <cellStyle name="Comma 5 2 7 2" xfId="4296" xr:uid="{00000000-0005-0000-0000-000019080000}"/>
    <cellStyle name="Comma 5 2 8" xfId="1447" xr:uid="{00000000-0005-0000-0000-00001A080000}"/>
    <cellStyle name="Comma 5 2 8 2" xfId="4297" xr:uid="{00000000-0005-0000-0000-00001B080000}"/>
    <cellStyle name="Comma 5 2 9" xfId="4289" xr:uid="{00000000-0005-0000-0000-00001C080000}"/>
    <cellStyle name="Comma 5 3" xfId="1448" xr:uid="{00000000-0005-0000-0000-00001D080000}"/>
    <cellStyle name="Comma 5 3 2" xfId="1449" xr:uid="{00000000-0005-0000-0000-00001E080000}"/>
    <cellStyle name="Comma 5 3 2 2" xfId="1450" xr:uid="{00000000-0005-0000-0000-00001F080000}"/>
    <cellStyle name="Comma 5 3 2 2 2" xfId="4300" xr:uid="{00000000-0005-0000-0000-000020080000}"/>
    <cellStyle name="Comma 5 3 2 3" xfId="4299" xr:uid="{00000000-0005-0000-0000-000021080000}"/>
    <cellStyle name="Comma 5 3 3" xfId="1451" xr:uid="{00000000-0005-0000-0000-000022080000}"/>
    <cellStyle name="Comma 5 3 3 2" xfId="4301" xr:uid="{00000000-0005-0000-0000-000023080000}"/>
    <cellStyle name="Comma 5 3 4" xfId="1452" xr:uid="{00000000-0005-0000-0000-000024080000}"/>
    <cellStyle name="Comma 5 3 4 2" xfId="4302" xr:uid="{00000000-0005-0000-0000-000025080000}"/>
    <cellStyle name="Comma 5 3 5" xfId="1453" xr:uid="{00000000-0005-0000-0000-000026080000}"/>
    <cellStyle name="Comma 5 3 5 2" xfId="4303" xr:uid="{00000000-0005-0000-0000-000027080000}"/>
    <cellStyle name="Comma 5 3 6" xfId="1454" xr:uid="{00000000-0005-0000-0000-000028080000}"/>
    <cellStyle name="Comma 5 3 6 2" xfId="4304" xr:uid="{00000000-0005-0000-0000-000029080000}"/>
    <cellStyle name="Comma 5 3 7" xfId="1455" xr:uid="{00000000-0005-0000-0000-00002A080000}"/>
    <cellStyle name="Comma 5 3 7 2" xfId="4305" xr:uid="{00000000-0005-0000-0000-00002B080000}"/>
    <cellStyle name="Comma 5 3 8" xfId="4298" xr:uid="{00000000-0005-0000-0000-00002C080000}"/>
    <cellStyle name="Comma 5 3 9" xfId="5324" xr:uid="{00000000-0005-0000-0000-00002D080000}"/>
    <cellStyle name="Comma 5 4" xfId="1456" xr:uid="{00000000-0005-0000-0000-00002E080000}"/>
    <cellStyle name="Comma 5 4 2" xfId="1457" xr:uid="{00000000-0005-0000-0000-00002F080000}"/>
    <cellStyle name="Comma 5 4 2 2" xfId="1458" xr:uid="{00000000-0005-0000-0000-000030080000}"/>
    <cellStyle name="Comma 5 4 2 2 2" xfId="4308" xr:uid="{00000000-0005-0000-0000-000031080000}"/>
    <cellStyle name="Comma 5 4 2 3" xfId="4307" xr:uid="{00000000-0005-0000-0000-000032080000}"/>
    <cellStyle name="Comma 5 4 3" xfId="1459" xr:uid="{00000000-0005-0000-0000-000033080000}"/>
    <cellStyle name="Comma 5 4 3 2" xfId="4309" xr:uid="{00000000-0005-0000-0000-000034080000}"/>
    <cellStyle name="Comma 5 4 4" xfId="1460" xr:uid="{00000000-0005-0000-0000-000035080000}"/>
    <cellStyle name="Comma 5 4 4 2" xfId="4310" xr:uid="{00000000-0005-0000-0000-000036080000}"/>
    <cellStyle name="Comma 5 4 5" xfId="1461" xr:uid="{00000000-0005-0000-0000-000037080000}"/>
    <cellStyle name="Comma 5 4 5 2" xfId="4311" xr:uid="{00000000-0005-0000-0000-000038080000}"/>
    <cellStyle name="Comma 5 4 6" xfId="1462" xr:uid="{00000000-0005-0000-0000-000039080000}"/>
    <cellStyle name="Comma 5 4 6 2" xfId="4312" xr:uid="{00000000-0005-0000-0000-00003A080000}"/>
    <cellStyle name="Comma 5 4 7" xfId="1463" xr:uid="{00000000-0005-0000-0000-00003B080000}"/>
    <cellStyle name="Comma 5 4 7 2" xfId="4313" xr:uid="{00000000-0005-0000-0000-00003C080000}"/>
    <cellStyle name="Comma 5 4 8" xfId="4306" xr:uid="{00000000-0005-0000-0000-00003D080000}"/>
    <cellStyle name="Comma 5 4 9" xfId="5325" xr:uid="{00000000-0005-0000-0000-00003E080000}"/>
    <cellStyle name="Comma 5 5" xfId="1464" xr:uid="{00000000-0005-0000-0000-00003F080000}"/>
    <cellStyle name="Comma 5 5 2" xfId="1465" xr:uid="{00000000-0005-0000-0000-000040080000}"/>
    <cellStyle name="Comma 5 5 2 2" xfId="4315" xr:uid="{00000000-0005-0000-0000-000041080000}"/>
    <cellStyle name="Comma 5 5 3" xfId="4314" xr:uid="{00000000-0005-0000-0000-000042080000}"/>
    <cellStyle name="Comma 5 6" xfId="1466" xr:uid="{00000000-0005-0000-0000-000043080000}"/>
    <cellStyle name="Comma 5 6 2" xfId="4316" xr:uid="{00000000-0005-0000-0000-000044080000}"/>
    <cellStyle name="Comma 5 7" xfId="1467" xr:uid="{00000000-0005-0000-0000-000045080000}"/>
    <cellStyle name="Comma 5 7 2" xfId="4317" xr:uid="{00000000-0005-0000-0000-000046080000}"/>
    <cellStyle name="Comma 5 8" xfId="1468" xr:uid="{00000000-0005-0000-0000-000047080000}"/>
    <cellStyle name="Comma 5 8 2" xfId="4318" xr:uid="{00000000-0005-0000-0000-000048080000}"/>
    <cellStyle name="Comma 5 9" xfId="1469" xr:uid="{00000000-0005-0000-0000-000049080000}"/>
    <cellStyle name="Comma 5 9 2" xfId="4319" xr:uid="{00000000-0005-0000-0000-00004A080000}"/>
    <cellStyle name="Comma 6" xfId="1470" xr:uid="{00000000-0005-0000-0000-00004B080000}"/>
    <cellStyle name="Comma 6 10" xfId="5326" xr:uid="{00000000-0005-0000-0000-00004C080000}"/>
    <cellStyle name="Comma 6 2" xfId="1471" xr:uid="{00000000-0005-0000-0000-00004D080000}"/>
    <cellStyle name="Comma 6 2 2" xfId="1472" xr:uid="{00000000-0005-0000-0000-00004E080000}"/>
    <cellStyle name="Comma 6 2 2 2" xfId="4322" xr:uid="{00000000-0005-0000-0000-00004F080000}"/>
    <cellStyle name="Comma 6 2 3" xfId="4321" xr:uid="{00000000-0005-0000-0000-000050080000}"/>
    <cellStyle name="Comma 6 3" xfId="1473" xr:uid="{00000000-0005-0000-0000-000051080000}"/>
    <cellStyle name="Comma 6 3 2" xfId="4323" xr:uid="{00000000-0005-0000-0000-000052080000}"/>
    <cellStyle name="Comma 6 4" xfId="1474" xr:uid="{00000000-0005-0000-0000-000053080000}"/>
    <cellStyle name="Comma 6 4 2" xfId="4324" xr:uid="{00000000-0005-0000-0000-000054080000}"/>
    <cellStyle name="Comma 6 5" xfId="1475" xr:uid="{00000000-0005-0000-0000-000055080000}"/>
    <cellStyle name="Comma 6 5 2" xfId="4325" xr:uid="{00000000-0005-0000-0000-000056080000}"/>
    <cellStyle name="Comma 6 6" xfId="1476" xr:uid="{00000000-0005-0000-0000-000057080000}"/>
    <cellStyle name="Comma 6 6 2" xfId="4326" xr:uid="{00000000-0005-0000-0000-000058080000}"/>
    <cellStyle name="Comma 6 7" xfId="1477" xr:uid="{00000000-0005-0000-0000-000059080000}"/>
    <cellStyle name="Comma 6 7 2" xfId="4327" xr:uid="{00000000-0005-0000-0000-00005A080000}"/>
    <cellStyle name="Comma 6 8" xfId="1478" xr:uid="{00000000-0005-0000-0000-00005B080000}"/>
    <cellStyle name="Comma 6 8 2" xfId="4328" xr:uid="{00000000-0005-0000-0000-00005C080000}"/>
    <cellStyle name="Comma 6 9" xfId="4320" xr:uid="{00000000-0005-0000-0000-00005D080000}"/>
    <cellStyle name="Comma 7" xfId="1479" xr:uid="{00000000-0005-0000-0000-00005E080000}"/>
    <cellStyle name="Comma 7 10" xfId="5327" xr:uid="{00000000-0005-0000-0000-00005F080000}"/>
    <cellStyle name="Comma 7 2" xfId="1480" xr:uid="{00000000-0005-0000-0000-000060080000}"/>
    <cellStyle name="Comma 7 2 2" xfId="1481" xr:uid="{00000000-0005-0000-0000-000061080000}"/>
    <cellStyle name="Comma 7 2 2 2" xfId="1482" xr:uid="{00000000-0005-0000-0000-000062080000}"/>
    <cellStyle name="Comma 7 2 2 2 2" xfId="4332" xr:uid="{00000000-0005-0000-0000-000063080000}"/>
    <cellStyle name="Comma 7 2 2 3" xfId="4331" xr:uid="{00000000-0005-0000-0000-000064080000}"/>
    <cellStyle name="Comma 7 2 3" xfId="1483" xr:uid="{00000000-0005-0000-0000-000065080000}"/>
    <cellStyle name="Comma 7 2 3 2" xfId="4333" xr:uid="{00000000-0005-0000-0000-000066080000}"/>
    <cellStyle name="Comma 7 2 4" xfId="1484" xr:uid="{00000000-0005-0000-0000-000067080000}"/>
    <cellStyle name="Comma 7 2 4 2" xfId="4334" xr:uid="{00000000-0005-0000-0000-000068080000}"/>
    <cellStyle name="Comma 7 2 5" xfId="1485" xr:uid="{00000000-0005-0000-0000-000069080000}"/>
    <cellStyle name="Comma 7 2 5 2" xfId="4335" xr:uid="{00000000-0005-0000-0000-00006A080000}"/>
    <cellStyle name="Comma 7 2 6" xfId="1486" xr:uid="{00000000-0005-0000-0000-00006B080000}"/>
    <cellStyle name="Comma 7 2 6 2" xfId="4336" xr:uid="{00000000-0005-0000-0000-00006C080000}"/>
    <cellStyle name="Comma 7 2 7" xfId="1487" xr:uid="{00000000-0005-0000-0000-00006D080000}"/>
    <cellStyle name="Comma 7 2 7 2" xfId="4337" xr:uid="{00000000-0005-0000-0000-00006E080000}"/>
    <cellStyle name="Comma 7 2 8" xfId="4330" xr:uid="{00000000-0005-0000-0000-00006F080000}"/>
    <cellStyle name="Comma 7 2 9" xfId="5328" xr:uid="{00000000-0005-0000-0000-000070080000}"/>
    <cellStyle name="Comma 7 3" xfId="1488" xr:uid="{00000000-0005-0000-0000-000071080000}"/>
    <cellStyle name="Comma 7 3 2" xfId="1489" xr:uid="{00000000-0005-0000-0000-000072080000}"/>
    <cellStyle name="Comma 7 3 2 2" xfId="4339" xr:uid="{00000000-0005-0000-0000-000073080000}"/>
    <cellStyle name="Comma 7 3 3" xfId="4338" xr:uid="{00000000-0005-0000-0000-000074080000}"/>
    <cellStyle name="Comma 7 4" xfId="1490" xr:uid="{00000000-0005-0000-0000-000075080000}"/>
    <cellStyle name="Comma 7 4 2" xfId="4340" xr:uid="{00000000-0005-0000-0000-000076080000}"/>
    <cellStyle name="Comma 7 5" xfId="1491" xr:uid="{00000000-0005-0000-0000-000077080000}"/>
    <cellStyle name="Comma 7 5 2" xfId="4341" xr:uid="{00000000-0005-0000-0000-000078080000}"/>
    <cellStyle name="Comma 7 6" xfId="1492" xr:uid="{00000000-0005-0000-0000-000079080000}"/>
    <cellStyle name="Comma 7 6 2" xfId="4342" xr:uid="{00000000-0005-0000-0000-00007A080000}"/>
    <cellStyle name="Comma 7 7" xfId="1493" xr:uid="{00000000-0005-0000-0000-00007B080000}"/>
    <cellStyle name="Comma 7 7 2" xfId="4343" xr:uid="{00000000-0005-0000-0000-00007C080000}"/>
    <cellStyle name="Comma 7 8" xfId="1494" xr:uid="{00000000-0005-0000-0000-00007D080000}"/>
    <cellStyle name="Comma 7 8 2" xfId="4344" xr:uid="{00000000-0005-0000-0000-00007E080000}"/>
    <cellStyle name="Comma 7 9" xfId="4329" xr:uid="{00000000-0005-0000-0000-00007F080000}"/>
    <cellStyle name="Comma 8" xfId="1495" xr:uid="{00000000-0005-0000-0000-000080080000}"/>
    <cellStyle name="Comma 8 10" xfId="5329" xr:uid="{00000000-0005-0000-0000-000081080000}"/>
    <cellStyle name="Comma 8 2" xfId="1496" xr:uid="{00000000-0005-0000-0000-000082080000}"/>
    <cellStyle name="Comma 8 2 2" xfId="1497" xr:uid="{00000000-0005-0000-0000-000083080000}"/>
    <cellStyle name="Comma 8 2 2 2" xfId="1498" xr:uid="{00000000-0005-0000-0000-000084080000}"/>
    <cellStyle name="Comma 8 2 2 2 2" xfId="4348" xr:uid="{00000000-0005-0000-0000-000085080000}"/>
    <cellStyle name="Comma 8 2 2 3" xfId="4347" xr:uid="{00000000-0005-0000-0000-000086080000}"/>
    <cellStyle name="Comma 8 2 3" xfId="1499" xr:uid="{00000000-0005-0000-0000-000087080000}"/>
    <cellStyle name="Comma 8 2 3 2" xfId="4349" xr:uid="{00000000-0005-0000-0000-000088080000}"/>
    <cellStyle name="Comma 8 2 4" xfId="1500" xr:uid="{00000000-0005-0000-0000-000089080000}"/>
    <cellStyle name="Comma 8 2 4 2" xfId="4350" xr:uid="{00000000-0005-0000-0000-00008A080000}"/>
    <cellStyle name="Comma 8 2 5" xfId="1501" xr:uid="{00000000-0005-0000-0000-00008B080000}"/>
    <cellStyle name="Comma 8 2 5 2" xfId="4351" xr:uid="{00000000-0005-0000-0000-00008C080000}"/>
    <cellStyle name="Comma 8 2 6" xfId="1502" xr:uid="{00000000-0005-0000-0000-00008D080000}"/>
    <cellStyle name="Comma 8 2 6 2" xfId="4352" xr:uid="{00000000-0005-0000-0000-00008E080000}"/>
    <cellStyle name="Comma 8 2 7" xfId="1503" xr:uid="{00000000-0005-0000-0000-00008F080000}"/>
    <cellStyle name="Comma 8 2 7 2" xfId="4353" xr:uid="{00000000-0005-0000-0000-000090080000}"/>
    <cellStyle name="Comma 8 2 8" xfId="4346" xr:uid="{00000000-0005-0000-0000-000091080000}"/>
    <cellStyle name="Comma 8 2 9" xfId="5330" xr:uid="{00000000-0005-0000-0000-000092080000}"/>
    <cellStyle name="Comma 8 3" xfId="1504" xr:uid="{00000000-0005-0000-0000-000093080000}"/>
    <cellStyle name="Comma 8 3 2" xfId="1505" xr:uid="{00000000-0005-0000-0000-000094080000}"/>
    <cellStyle name="Comma 8 3 2 2" xfId="4355" xr:uid="{00000000-0005-0000-0000-000095080000}"/>
    <cellStyle name="Comma 8 3 3" xfId="4354" xr:uid="{00000000-0005-0000-0000-000096080000}"/>
    <cellStyle name="Comma 8 4" xfId="1506" xr:uid="{00000000-0005-0000-0000-000097080000}"/>
    <cellStyle name="Comma 8 4 2" xfId="4356" xr:uid="{00000000-0005-0000-0000-000098080000}"/>
    <cellStyle name="Comma 8 5" xfId="1507" xr:uid="{00000000-0005-0000-0000-000099080000}"/>
    <cellStyle name="Comma 8 5 2" xfId="4357" xr:uid="{00000000-0005-0000-0000-00009A080000}"/>
    <cellStyle name="Comma 8 6" xfId="1508" xr:uid="{00000000-0005-0000-0000-00009B080000}"/>
    <cellStyle name="Comma 8 6 2" xfId="4358" xr:uid="{00000000-0005-0000-0000-00009C080000}"/>
    <cellStyle name="Comma 8 7" xfId="1509" xr:uid="{00000000-0005-0000-0000-00009D080000}"/>
    <cellStyle name="Comma 8 7 2" xfId="4359" xr:uid="{00000000-0005-0000-0000-00009E080000}"/>
    <cellStyle name="Comma 8 8" xfId="1510" xr:uid="{00000000-0005-0000-0000-00009F080000}"/>
    <cellStyle name="Comma 8 8 2" xfId="4360" xr:uid="{00000000-0005-0000-0000-0000A0080000}"/>
    <cellStyle name="Comma 8 9" xfId="4345" xr:uid="{00000000-0005-0000-0000-0000A1080000}"/>
    <cellStyle name="Comma 9" xfId="1511" xr:uid="{00000000-0005-0000-0000-0000A2080000}"/>
    <cellStyle name="Comma 9 2" xfId="1512" xr:uid="{00000000-0005-0000-0000-0000A3080000}"/>
    <cellStyle name="Comma 9 2 2" xfId="1513" xr:uid="{00000000-0005-0000-0000-0000A4080000}"/>
    <cellStyle name="Comma 9 2 2 2" xfId="1514" xr:uid="{00000000-0005-0000-0000-0000A5080000}"/>
    <cellStyle name="Comma 9 2 2 2 2" xfId="4363" xr:uid="{00000000-0005-0000-0000-0000A6080000}"/>
    <cellStyle name="Comma 9 2 2 3" xfId="4362" xr:uid="{00000000-0005-0000-0000-0000A7080000}"/>
    <cellStyle name="Comma 9 2 3" xfId="1515" xr:uid="{00000000-0005-0000-0000-0000A8080000}"/>
    <cellStyle name="Comma 9 2 3 2" xfId="4364" xr:uid="{00000000-0005-0000-0000-0000A9080000}"/>
    <cellStyle name="Comma 9 2 4" xfId="1516" xr:uid="{00000000-0005-0000-0000-0000AA080000}"/>
    <cellStyle name="Comma 9 2 4 2" xfId="4365" xr:uid="{00000000-0005-0000-0000-0000AB080000}"/>
    <cellStyle name="Comma 9 2 5" xfId="1517" xr:uid="{00000000-0005-0000-0000-0000AC080000}"/>
    <cellStyle name="Comma 9 2 5 2" xfId="4366" xr:uid="{00000000-0005-0000-0000-0000AD080000}"/>
    <cellStyle name="Comma 9 2 6" xfId="1518" xr:uid="{00000000-0005-0000-0000-0000AE080000}"/>
    <cellStyle name="Comma 9 2 6 2" xfId="4367" xr:uid="{00000000-0005-0000-0000-0000AF080000}"/>
    <cellStyle name="Comma 9 2 7" xfId="1519" xr:uid="{00000000-0005-0000-0000-0000B0080000}"/>
    <cellStyle name="Comma 9 2 7 2" xfId="4368" xr:uid="{00000000-0005-0000-0000-0000B1080000}"/>
    <cellStyle name="Comma 9 2 8" xfId="4361" xr:uid="{00000000-0005-0000-0000-0000B2080000}"/>
    <cellStyle name="Comma 9 2 9" xfId="5331" xr:uid="{00000000-0005-0000-0000-0000B3080000}"/>
    <cellStyle name="Comma 9 3" xfId="1520" xr:uid="{00000000-0005-0000-0000-0000B4080000}"/>
    <cellStyle name="comma zerodec" xfId="1521" xr:uid="{00000000-0005-0000-0000-0000B5080000}"/>
    <cellStyle name="comma zerodec 2" xfId="5332" xr:uid="{00000000-0005-0000-0000-0000B6080000}"/>
    <cellStyle name="Comma[2]" xfId="1522" xr:uid="{00000000-0005-0000-0000-0000B7080000}"/>
    <cellStyle name="Comma[2] 2" xfId="5333" xr:uid="{00000000-0005-0000-0000-0000B8080000}"/>
    <cellStyle name="Currency $" xfId="1523" xr:uid="{00000000-0005-0000-0000-0000B9080000}"/>
    <cellStyle name="Currency $ 2" xfId="5334" xr:uid="{00000000-0005-0000-0000-0000BA080000}"/>
    <cellStyle name="Currency [00]" xfId="1524" xr:uid="{00000000-0005-0000-0000-0000BB080000}"/>
    <cellStyle name="Currency [00] 2" xfId="5335" xr:uid="{00000000-0005-0000-0000-0000BC080000}"/>
    <cellStyle name="Currency 2" xfId="1525" xr:uid="{00000000-0005-0000-0000-0000BD080000}"/>
    <cellStyle name="Currency 3" xfId="1526" xr:uid="{00000000-0005-0000-0000-0000BE080000}"/>
    <cellStyle name="Currency 3 2" xfId="1527" xr:uid="{00000000-0005-0000-0000-0000BF080000}"/>
    <cellStyle name="Currency 4" xfId="1528" xr:uid="{00000000-0005-0000-0000-0000C0080000}"/>
    <cellStyle name="Currency 4 2" xfId="1529" xr:uid="{00000000-0005-0000-0000-0000C1080000}"/>
    <cellStyle name="Currency 5" xfId="1530" xr:uid="{00000000-0005-0000-0000-0000C2080000}"/>
    <cellStyle name="Currency 5 2" xfId="1531" xr:uid="{00000000-0005-0000-0000-0000C3080000}"/>
    <cellStyle name="Currency[2]" xfId="1532" xr:uid="{00000000-0005-0000-0000-0000C4080000}"/>
    <cellStyle name="Currency1" xfId="1533" xr:uid="{00000000-0005-0000-0000-0000C5080000}"/>
    <cellStyle name="Currency1 2" xfId="5336" xr:uid="{00000000-0005-0000-0000-0000C6080000}"/>
    <cellStyle name="custom" xfId="1534" xr:uid="{00000000-0005-0000-0000-0000C7080000}"/>
    <cellStyle name="Date" xfId="1535" xr:uid="{00000000-0005-0000-0000-0000C8080000}"/>
    <cellStyle name="Date 2" xfId="5337" xr:uid="{00000000-0005-0000-0000-0000C9080000}"/>
    <cellStyle name="Date Short" xfId="1536" xr:uid="{00000000-0005-0000-0000-0000CA080000}"/>
    <cellStyle name="Date Short 2" xfId="5338" xr:uid="{00000000-0005-0000-0000-0000CB080000}"/>
    <cellStyle name="Date_B376 DCP" xfId="1537" xr:uid="{00000000-0005-0000-0000-0000CC080000}"/>
    <cellStyle name="Dollar (zero dec)" xfId="1538" xr:uid="{00000000-0005-0000-0000-0000CD080000}"/>
    <cellStyle name="Dollar (zero dec) 2" xfId="5339" xr:uid="{00000000-0005-0000-0000-0000CE080000}"/>
    <cellStyle name="Enter Currency (0)" xfId="1539" xr:uid="{00000000-0005-0000-0000-0000CF080000}"/>
    <cellStyle name="Enter Currency (2)" xfId="1540" xr:uid="{00000000-0005-0000-0000-0000D0080000}"/>
    <cellStyle name="Enter Currency (2) 2" xfId="5340" xr:uid="{00000000-0005-0000-0000-0000D1080000}"/>
    <cellStyle name="Enter Units (0)" xfId="1541" xr:uid="{00000000-0005-0000-0000-0000D2080000}"/>
    <cellStyle name="Enter Units (1)" xfId="1542" xr:uid="{00000000-0005-0000-0000-0000D3080000}"/>
    <cellStyle name="Enter Units (1) 2" xfId="5341" xr:uid="{00000000-0005-0000-0000-0000D4080000}"/>
    <cellStyle name="Enter Units (2)" xfId="1543" xr:uid="{00000000-0005-0000-0000-0000D5080000}"/>
    <cellStyle name="Enter Units (2) 2" xfId="5342" xr:uid="{00000000-0005-0000-0000-0000D6080000}"/>
    <cellStyle name="Euro" xfId="1544" xr:uid="{00000000-0005-0000-0000-0000D7080000}"/>
    <cellStyle name="Euro 2" xfId="1545" xr:uid="{00000000-0005-0000-0000-0000D8080000}"/>
    <cellStyle name="Euro 3" xfId="1546" xr:uid="{00000000-0005-0000-0000-0000D9080000}"/>
    <cellStyle name="Euro 4" xfId="1547" xr:uid="{00000000-0005-0000-0000-0000DA080000}"/>
    <cellStyle name="Euro 5" xfId="1548" xr:uid="{00000000-0005-0000-0000-0000DB080000}"/>
    <cellStyle name="Explanatory Text" xfId="208" builtinId="53" customBuiltin="1"/>
    <cellStyle name="Explanatory Text 2" xfId="209" xr:uid="{00000000-0005-0000-0000-0000DD080000}"/>
    <cellStyle name="Explanatory Text 2 2" xfId="552" xr:uid="{00000000-0005-0000-0000-0000DE080000}"/>
    <cellStyle name="Explanatory Text 2 2 2" xfId="1550" xr:uid="{00000000-0005-0000-0000-0000DF080000}"/>
    <cellStyle name="Explanatory Text 2 2 3" xfId="1551" xr:uid="{00000000-0005-0000-0000-0000E0080000}"/>
    <cellStyle name="Explanatory Text 2 2 4" xfId="1552" xr:uid="{00000000-0005-0000-0000-0000E1080000}"/>
    <cellStyle name="Explanatory Text 2 2 5" xfId="1549" xr:uid="{00000000-0005-0000-0000-0000E2080000}"/>
    <cellStyle name="Explanatory Text 2 2 6" xfId="5343" xr:uid="{00000000-0005-0000-0000-0000E3080000}"/>
    <cellStyle name="Explanatory Text 2 3" xfId="5344" xr:uid="{00000000-0005-0000-0000-0000E4080000}"/>
    <cellStyle name="Explanatory Text 3" xfId="210" xr:uid="{00000000-0005-0000-0000-0000E5080000}"/>
    <cellStyle name="Explanatory Text 3 2" xfId="1553" xr:uid="{00000000-0005-0000-0000-0000E6080000}"/>
    <cellStyle name="Explanatory Text 3 2 2" xfId="5345" xr:uid="{00000000-0005-0000-0000-0000E7080000}"/>
    <cellStyle name="Explanatory Text 3 3" xfId="5346" xr:uid="{00000000-0005-0000-0000-0000E8080000}"/>
    <cellStyle name="Explanatory Text 4" xfId="553" xr:uid="{00000000-0005-0000-0000-0000E9080000}"/>
    <cellStyle name="Explanatory Text 4 2" xfId="1554" xr:uid="{00000000-0005-0000-0000-0000EA080000}"/>
    <cellStyle name="Explanatory Text 4 2 2" xfId="5347" xr:uid="{00000000-0005-0000-0000-0000EB080000}"/>
    <cellStyle name="Explanatory Text 4 3" xfId="1555" xr:uid="{00000000-0005-0000-0000-0000EC080000}"/>
    <cellStyle name="Explanatory Text 4 4" xfId="6440" xr:uid="{00000000-0005-0000-0000-0000ED080000}"/>
    <cellStyle name="Explanatory Text 5" xfId="554" xr:uid="{00000000-0005-0000-0000-0000EE080000}"/>
    <cellStyle name="Explanatory Text 6" xfId="551" xr:uid="{00000000-0005-0000-0000-0000EF080000}"/>
    <cellStyle name="Good" xfId="211" builtinId="26" customBuiltin="1"/>
    <cellStyle name="Good 2" xfId="212" xr:uid="{00000000-0005-0000-0000-0000F1080000}"/>
    <cellStyle name="Good 2 10" xfId="213" xr:uid="{00000000-0005-0000-0000-0000F2080000}"/>
    <cellStyle name="Good 2 10 2" xfId="5349" xr:uid="{00000000-0005-0000-0000-0000F3080000}"/>
    <cellStyle name="Good 2 11" xfId="214" xr:uid="{00000000-0005-0000-0000-0000F4080000}"/>
    <cellStyle name="Good 2 11 2" xfId="5350" xr:uid="{00000000-0005-0000-0000-0000F5080000}"/>
    <cellStyle name="Good 2 12" xfId="215" xr:uid="{00000000-0005-0000-0000-0000F6080000}"/>
    <cellStyle name="Good 2 12 2" xfId="5351" xr:uid="{00000000-0005-0000-0000-0000F7080000}"/>
    <cellStyle name="Good 2 13" xfId="216" xr:uid="{00000000-0005-0000-0000-0000F8080000}"/>
    <cellStyle name="Good 2 13 2" xfId="5352" xr:uid="{00000000-0005-0000-0000-0000F9080000}"/>
    <cellStyle name="Good 2 14" xfId="217" xr:uid="{00000000-0005-0000-0000-0000FA080000}"/>
    <cellStyle name="Good 2 14 2" xfId="5353" xr:uid="{00000000-0005-0000-0000-0000FB080000}"/>
    <cellStyle name="Good 2 15" xfId="218" xr:uid="{00000000-0005-0000-0000-0000FC080000}"/>
    <cellStyle name="Good 2 15 2" xfId="5354" xr:uid="{00000000-0005-0000-0000-0000FD080000}"/>
    <cellStyle name="Good 2 16" xfId="219" xr:uid="{00000000-0005-0000-0000-0000FE080000}"/>
    <cellStyle name="Good 2 16 2" xfId="5355" xr:uid="{00000000-0005-0000-0000-0000FF080000}"/>
    <cellStyle name="Good 2 17" xfId="220" xr:uid="{00000000-0005-0000-0000-000000090000}"/>
    <cellStyle name="Good 2 17 2" xfId="5356" xr:uid="{00000000-0005-0000-0000-000001090000}"/>
    <cellStyle name="Good 2 18" xfId="221" xr:uid="{00000000-0005-0000-0000-000002090000}"/>
    <cellStyle name="Good 2 18 2" xfId="5357" xr:uid="{00000000-0005-0000-0000-000003090000}"/>
    <cellStyle name="Good 2 19" xfId="222" xr:uid="{00000000-0005-0000-0000-000004090000}"/>
    <cellStyle name="Good 2 19 2" xfId="5358" xr:uid="{00000000-0005-0000-0000-000005090000}"/>
    <cellStyle name="Good 2 2" xfId="223" xr:uid="{00000000-0005-0000-0000-000006090000}"/>
    <cellStyle name="Good 2 2 10" xfId="224" xr:uid="{00000000-0005-0000-0000-000007090000}"/>
    <cellStyle name="Good 2 2 10 2" xfId="5359" xr:uid="{00000000-0005-0000-0000-000008090000}"/>
    <cellStyle name="Good 2 2 11" xfId="225" xr:uid="{00000000-0005-0000-0000-000009090000}"/>
    <cellStyle name="Good 2 2 11 2" xfId="5360" xr:uid="{00000000-0005-0000-0000-00000A090000}"/>
    <cellStyle name="Good 2 2 12" xfId="226" xr:uid="{00000000-0005-0000-0000-00000B090000}"/>
    <cellStyle name="Good 2 2 12 2" xfId="5361" xr:uid="{00000000-0005-0000-0000-00000C090000}"/>
    <cellStyle name="Good 2 2 13" xfId="227" xr:uid="{00000000-0005-0000-0000-00000D090000}"/>
    <cellStyle name="Good 2 2 13 2" xfId="5362" xr:uid="{00000000-0005-0000-0000-00000E090000}"/>
    <cellStyle name="Good 2 2 14" xfId="228" xr:uid="{00000000-0005-0000-0000-00000F090000}"/>
    <cellStyle name="Good 2 2 14 2" xfId="5363" xr:uid="{00000000-0005-0000-0000-000010090000}"/>
    <cellStyle name="Good 2 2 15" xfId="229" xr:uid="{00000000-0005-0000-0000-000011090000}"/>
    <cellStyle name="Good 2 2 15 2" xfId="5364" xr:uid="{00000000-0005-0000-0000-000012090000}"/>
    <cellStyle name="Good 2 2 16" xfId="230" xr:uid="{00000000-0005-0000-0000-000013090000}"/>
    <cellStyle name="Good 2 2 16 2" xfId="5365" xr:uid="{00000000-0005-0000-0000-000014090000}"/>
    <cellStyle name="Good 2 2 17" xfId="231" xr:uid="{00000000-0005-0000-0000-000015090000}"/>
    <cellStyle name="Good 2 2 17 2" xfId="5366" xr:uid="{00000000-0005-0000-0000-000016090000}"/>
    <cellStyle name="Good 2 2 18" xfId="232" xr:uid="{00000000-0005-0000-0000-000017090000}"/>
    <cellStyle name="Good 2 2 18 2" xfId="5367" xr:uid="{00000000-0005-0000-0000-000018090000}"/>
    <cellStyle name="Good 2 2 19" xfId="233" xr:uid="{00000000-0005-0000-0000-000019090000}"/>
    <cellStyle name="Good 2 2 19 2" xfId="5368" xr:uid="{00000000-0005-0000-0000-00001A090000}"/>
    <cellStyle name="Good 2 2 2" xfId="234" xr:uid="{00000000-0005-0000-0000-00001B090000}"/>
    <cellStyle name="Good 2 2 2 2" xfId="556" xr:uid="{00000000-0005-0000-0000-00001C090000}"/>
    <cellStyle name="Good 2 2 2 2 2" xfId="5370" xr:uid="{00000000-0005-0000-0000-00001D090000}"/>
    <cellStyle name="Good 2 2 2 2 3" xfId="5369" xr:uid="{00000000-0005-0000-0000-00001E090000}"/>
    <cellStyle name="Good 2 2 2 3" xfId="557" xr:uid="{00000000-0005-0000-0000-00001F090000}"/>
    <cellStyle name="Good 2 2 2 4" xfId="558" xr:uid="{00000000-0005-0000-0000-000020090000}"/>
    <cellStyle name="Good 2 2 2 5" xfId="559" xr:uid="{00000000-0005-0000-0000-000021090000}"/>
    <cellStyle name="Good 2 2 20" xfId="235" xr:uid="{00000000-0005-0000-0000-000022090000}"/>
    <cellStyle name="Good 2 2 20 2" xfId="5371" xr:uid="{00000000-0005-0000-0000-000023090000}"/>
    <cellStyle name="Good 2 2 21" xfId="236" xr:uid="{00000000-0005-0000-0000-000024090000}"/>
    <cellStyle name="Good 2 2 21 2" xfId="5372" xr:uid="{00000000-0005-0000-0000-000025090000}"/>
    <cellStyle name="Good 2 2 22" xfId="237" xr:uid="{00000000-0005-0000-0000-000026090000}"/>
    <cellStyle name="Good 2 2 22 2" xfId="5373" xr:uid="{00000000-0005-0000-0000-000027090000}"/>
    <cellStyle name="Good 2 2 23" xfId="1556" xr:uid="{00000000-0005-0000-0000-000028090000}"/>
    <cellStyle name="Good 2 2 23 2" xfId="1557" xr:uid="{00000000-0005-0000-0000-000029090000}"/>
    <cellStyle name="Good 2 2 23 2 2" xfId="1558" xr:uid="{00000000-0005-0000-0000-00002A090000}"/>
    <cellStyle name="Good 2 2 23 3" xfId="5374" xr:uid="{00000000-0005-0000-0000-00002B090000}"/>
    <cellStyle name="Good 2 2 24" xfId="1559" xr:uid="{00000000-0005-0000-0000-00002C090000}"/>
    <cellStyle name="Good 2 2 24 2" xfId="5375" xr:uid="{00000000-0005-0000-0000-00002D090000}"/>
    <cellStyle name="Good 2 2 25" xfId="1560" xr:uid="{00000000-0005-0000-0000-00002E090000}"/>
    <cellStyle name="Good 2 2 25 2" xfId="5376" xr:uid="{00000000-0005-0000-0000-00002F090000}"/>
    <cellStyle name="Good 2 2 26" xfId="1561" xr:uid="{00000000-0005-0000-0000-000030090000}"/>
    <cellStyle name="Good 2 2 26 2" xfId="5377" xr:uid="{00000000-0005-0000-0000-000031090000}"/>
    <cellStyle name="Good 2 2 27" xfId="1562" xr:uid="{00000000-0005-0000-0000-000032090000}"/>
    <cellStyle name="Good 2 2 27 2" xfId="5378" xr:uid="{00000000-0005-0000-0000-000033090000}"/>
    <cellStyle name="Good 2 2 28" xfId="1563" xr:uid="{00000000-0005-0000-0000-000034090000}"/>
    <cellStyle name="Good 2 2 28 2" xfId="5379" xr:uid="{00000000-0005-0000-0000-000035090000}"/>
    <cellStyle name="Good 2 2 29" xfId="1564" xr:uid="{00000000-0005-0000-0000-000036090000}"/>
    <cellStyle name="Good 2 2 29 2" xfId="5380" xr:uid="{00000000-0005-0000-0000-000037090000}"/>
    <cellStyle name="Good 2 2 3" xfId="238" xr:uid="{00000000-0005-0000-0000-000038090000}"/>
    <cellStyle name="Good 2 2 3 2" xfId="1565" xr:uid="{00000000-0005-0000-0000-000039090000}"/>
    <cellStyle name="Good 2 2 3 2 2" xfId="5381" xr:uid="{00000000-0005-0000-0000-00003A090000}"/>
    <cellStyle name="Good 2 2 3 3" xfId="1566" xr:uid="{00000000-0005-0000-0000-00003B090000}"/>
    <cellStyle name="Good 2 2 3 3 2" xfId="5382" xr:uid="{00000000-0005-0000-0000-00003C090000}"/>
    <cellStyle name="Good 2 2 30" xfId="1567" xr:uid="{00000000-0005-0000-0000-00003D090000}"/>
    <cellStyle name="Good 2 2 30 2" xfId="5383" xr:uid="{00000000-0005-0000-0000-00003E090000}"/>
    <cellStyle name="Good 2 2 31" xfId="1568" xr:uid="{00000000-0005-0000-0000-00003F090000}"/>
    <cellStyle name="Good 2 2 31 2" xfId="5384" xr:uid="{00000000-0005-0000-0000-000040090000}"/>
    <cellStyle name="Good 2 2 32" xfId="5385" xr:uid="{00000000-0005-0000-0000-000041090000}"/>
    <cellStyle name="Good 2 2 4" xfId="239" xr:uid="{00000000-0005-0000-0000-000042090000}"/>
    <cellStyle name="Good 2 2 4 2" xfId="1569" xr:uid="{00000000-0005-0000-0000-000043090000}"/>
    <cellStyle name="Good 2 2 4 2 2" xfId="5386" xr:uid="{00000000-0005-0000-0000-000044090000}"/>
    <cellStyle name="Good 2 2 4 3" xfId="1570" xr:uid="{00000000-0005-0000-0000-000045090000}"/>
    <cellStyle name="Good 2 2 4 3 2" xfId="5387" xr:uid="{00000000-0005-0000-0000-000046090000}"/>
    <cellStyle name="Good 2 2 5" xfId="240" xr:uid="{00000000-0005-0000-0000-000047090000}"/>
    <cellStyle name="Good 2 2 5 2" xfId="5388" xr:uid="{00000000-0005-0000-0000-000048090000}"/>
    <cellStyle name="Good 2 2 6" xfId="241" xr:uid="{00000000-0005-0000-0000-000049090000}"/>
    <cellStyle name="Good 2 2 6 2" xfId="5389" xr:uid="{00000000-0005-0000-0000-00004A090000}"/>
    <cellStyle name="Good 2 2 7" xfId="242" xr:uid="{00000000-0005-0000-0000-00004B090000}"/>
    <cellStyle name="Good 2 2 7 2" xfId="5390" xr:uid="{00000000-0005-0000-0000-00004C090000}"/>
    <cellStyle name="Good 2 2 8" xfId="243" xr:uid="{00000000-0005-0000-0000-00004D090000}"/>
    <cellStyle name="Good 2 2 8 2" xfId="5391" xr:uid="{00000000-0005-0000-0000-00004E090000}"/>
    <cellStyle name="Good 2 2 9" xfId="244" xr:uid="{00000000-0005-0000-0000-00004F090000}"/>
    <cellStyle name="Good 2 2 9 2" xfId="5392" xr:uid="{00000000-0005-0000-0000-000050090000}"/>
    <cellStyle name="Good 2 20" xfId="245" xr:uid="{00000000-0005-0000-0000-000051090000}"/>
    <cellStyle name="Good 2 20 2" xfId="5393" xr:uid="{00000000-0005-0000-0000-000052090000}"/>
    <cellStyle name="Good 2 21" xfId="246" xr:uid="{00000000-0005-0000-0000-000053090000}"/>
    <cellStyle name="Good 2 21 2" xfId="5394" xr:uid="{00000000-0005-0000-0000-000054090000}"/>
    <cellStyle name="Good 2 22" xfId="247" xr:uid="{00000000-0005-0000-0000-000055090000}"/>
    <cellStyle name="Good 2 22 2" xfId="5395" xr:uid="{00000000-0005-0000-0000-000056090000}"/>
    <cellStyle name="Good 2 23" xfId="1571" xr:uid="{00000000-0005-0000-0000-000057090000}"/>
    <cellStyle name="Good 2 23 2" xfId="1572" xr:uid="{00000000-0005-0000-0000-000058090000}"/>
    <cellStyle name="Good 2 23 2 2" xfId="1573" xr:uid="{00000000-0005-0000-0000-000059090000}"/>
    <cellStyle name="Good 2 23 3" xfId="5396" xr:uid="{00000000-0005-0000-0000-00005A090000}"/>
    <cellStyle name="Good 2 24" xfId="1574" xr:uid="{00000000-0005-0000-0000-00005B090000}"/>
    <cellStyle name="Good 2 24 2" xfId="1575" xr:uid="{00000000-0005-0000-0000-00005C090000}"/>
    <cellStyle name="Good 2 24 3" xfId="5397" xr:uid="{00000000-0005-0000-0000-00005D090000}"/>
    <cellStyle name="Good 2 25" xfId="1576" xr:uid="{00000000-0005-0000-0000-00005E090000}"/>
    <cellStyle name="Good 2 25 2" xfId="5398" xr:uid="{00000000-0005-0000-0000-00005F090000}"/>
    <cellStyle name="Good 2 26" xfId="1577" xr:uid="{00000000-0005-0000-0000-000060090000}"/>
    <cellStyle name="Good 2 26 2" xfId="5399" xr:uid="{00000000-0005-0000-0000-000061090000}"/>
    <cellStyle name="Good 2 27" xfId="1578" xr:uid="{00000000-0005-0000-0000-000062090000}"/>
    <cellStyle name="Good 2 27 2" xfId="5400" xr:uid="{00000000-0005-0000-0000-000063090000}"/>
    <cellStyle name="Good 2 28" xfId="1579" xr:uid="{00000000-0005-0000-0000-000064090000}"/>
    <cellStyle name="Good 2 28 2" xfId="5401" xr:uid="{00000000-0005-0000-0000-000065090000}"/>
    <cellStyle name="Good 2 29" xfId="1580" xr:uid="{00000000-0005-0000-0000-000066090000}"/>
    <cellStyle name="Good 2 29 2" xfId="5402" xr:uid="{00000000-0005-0000-0000-000067090000}"/>
    <cellStyle name="Good 2 3" xfId="248" xr:uid="{00000000-0005-0000-0000-000068090000}"/>
    <cellStyle name="Good 2 3 2" xfId="1581" xr:uid="{00000000-0005-0000-0000-000069090000}"/>
    <cellStyle name="Good 2 3 2 2" xfId="5403" xr:uid="{00000000-0005-0000-0000-00006A090000}"/>
    <cellStyle name="Good 2 3 3" xfId="5404" xr:uid="{00000000-0005-0000-0000-00006B090000}"/>
    <cellStyle name="Good 2 30" xfId="1582" xr:uid="{00000000-0005-0000-0000-00006C090000}"/>
    <cellStyle name="Good 2 30 2" xfId="5405" xr:uid="{00000000-0005-0000-0000-00006D090000}"/>
    <cellStyle name="Good 2 31" xfId="1583" xr:uid="{00000000-0005-0000-0000-00006E090000}"/>
    <cellStyle name="Good 2 31 2" xfId="5406" xr:uid="{00000000-0005-0000-0000-00006F090000}"/>
    <cellStyle name="Good 2 32" xfId="5407" xr:uid="{00000000-0005-0000-0000-000070090000}"/>
    <cellStyle name="Good 2 4" xfId="249" xr:uid="{00000000-0005-0000-0000-000071090000}"/>
    <cellStyle name="Good 2 4 2" xfId="1584" xr:uid="{00000000-0005-0000-0000-000072090000}"/>
    <cellStyle name="Good 2 4 2 2" xfId="5408" xr:uid="{00000000-0005-0000-0000-000073090000}"/>
    <cellStyle name="Good 2 4 3" xfId="1585" xr:uid="{00000000-0005-0000-0000-000074090000}"/>
    <cellStyle name="Good 2 4 3 2" xfId="5409" xr:uid="{00000000-0005-0000-0000-000075090000}"/>
    <cellStyle name="Good 2 5" xfId="250" xr:uid="{00000000-0005-0000-0000-000076090000}"/>
    <cellStyle name="Good 2 5 2" xfId="5410" xr:uid="{00000000-0005-0000-0000-000077090000}"/>
    <cellStyle name="Good 2 6" xfId="251" xr:uid="{00000000-0005-0000-0000-000078090000}"/>
    <cellStyle name="Good 2 6 2" xfId="5411" xr:uid="{00000000-0005-0000-0000-000079090000}"/>
    <cellStyle name="Good 2 7" xfId="252" xr:uid="{00000000-0005-0000-0000-00007A090000}"/>
    <cellStyle name="Good 2 7 2" xfId="5412" xr:uid="{00000000-0005-0000-0000-00007B090000}"/>
    <cellStyle name="Good 2 8" xfId="253" xr:uid="{00000000-0005-0000-0000-00007C090000}"/>
    <cellStyle name="Good 2 8 2" xfId="5413" xr:uid="{00000000-0005-0000-0000-00007D090000}"/>
    <cellStyle name="Good 2 9" xfId="254" xr:uid="{00000000-0005-0000-0000-00007E090000}"/>
    <cellStyle name="Good 2 9 2" xfId="5414" xr:uid="{00000000-0005-0000-0000-00007F090000}"/>
    <cellStyle name="Good 3" xfId="255" xr:uid="{00000000-0005-0000-0000-000080090000}"/>
    <cellStyle name="Good 3 2" xfId="1586" xr:uid="{00000000-0005-0000-0000-000081090000}"/>
    <cellStyle name="Good 3 2 2" xfId="5415" xr:uid="{00000000-0005-0000-0000-000082090000}"/>
    <cellStyle name="Good 3 3" xfId="5416" xr:uid="{00000000-0005-0000-0000-000083090000}"/>
    <cellStyle name="Good 4" xfId="560" xr:uid="{00000000-0005-0000-0000-000084090000}"/>
    <cellStyle name="Good 4 2" xfId="1587" xr:uid="{00000000-0005-0000-0000-000085090000}"/>
    <cellStyle name="Good 4 2 2" xfId="5417" xr:uid="{00000000-0005-0000-0000-000086090000}"/>
    <cellStyle name="Good 4 3" xfId="5418" xr:uid="{00000000-0005-0000-0000-000087090000}"/>
    <cellStyle name="Good 5" xfId="555" xr:uid="{00000000-0005-0000-0000-000088090000}"/>
    <cellStyle name="Good 5 2" xfId="5419" xr:uid="{00000000-0005-0000-0000-000089090000}"/>
    <cellStyle name="Good 6" xfId="5348" xr:uid="{00000000-0005-0000-0000-00008A090000}"/>
    <cellStyle name="Grey" xfId="1588" xr:uid="{00000000-0005-0000-0000-00008B090000}"/>
    <cellStyle name="Grey 2" xfId="5420" xr:uid="{00000000-0005-0000-0000-00008C090000}"/>
    <cellStyle name="HEADER" xfId="1589" xr:uid="{00000000-0005-0000-0000-00008D090000}"/>
    <cellStyle name="HEADER 2" xfId="1590" xr:uid="{00000000-0005-0000-0000-00008E090000}"/>
    <cellStyle name="HEADER 2 2" xfId="5422" xr:uid="{00000000-0005-0000-0000-00008F090000}"/>
    <cellStyle name="HEADER 3" xfId="5421" xr:uid="{00000000-0005-0000-0000-000090090000}"/>
    <cellStyle name="Header1" xfId="1591" xr:uid="{00000000-0005-0000-0000-000091090000}"/>
    <cellStyle name="Header1 2" xfId="1592" xr:uid="{00000000-0005-0000-0000-000092090000}"/>
    <cellStyle name="Header1 2 2" xfId="5424" xr:uid="{00000000-0005-0000-0000-000093090000}"/>
    <cellStyle name="Header1 3" xfId="5423" xr:uid="{00000000-0005-0000-0000-000094090000}"/>
    <cellStyle name="Header2" xfId="1593" xr:uid="{00000000-0005-0000-0000-000095090000}"/>
    <cellStyle name="Header2 2" xfId="1594" xr:uid="{00000000-0005-0000-0000-000096090000}"/>
    <cellStyle name="Header2 2 2" xfId="5426" xr:uid="{00000000-0005-0000-0000-000097090000}"/>
    <cellStyle name="Header2 3" xfId="5425" xr:uid="{00000000-0005-0000-0000-000098090000}"/>
    <cellStyle name="Heading 1" xfId="256" builtinId="16" customBuiltin="1"/>
    <cellStyle name="Heading 1 2" xfId="257" xr:uid="{00000000-0005-0000-0000-00009A090000}"/>
    <cellStyle name="Heading 1 2 2" xfId="562" xr:uid="{00000000-0005-0000-0000-00009B090000}"/>
    <cellStyle name="Heading 1 2 2 2" xfId="1596" xr:uid="{00000000-0005-0000-0000-00009C090000}"/>
    <cellStyle name="Heading 1 2 2 3" xfId="1597" xr:uid="{00000000-0005-0000-0000-00009D090000}"/>
    <cellStyle name="Heading 1 2 2 4" xfId="1598" xr:uid="{00000000-0005-0000-0000-00009E090000}"/>
    <cellStyle name="Heading 1 2 2 5" xfId="1595" xr:uid="{00000000-0005-0000-0000-00009F090000}"/>
    <cellStyle name="Heading 1 2 2 6" xfId="5427" xr:uid="{00000000-0005-0000-0000-0000A0090000}"/>
    <cellStyle name="Heading 1 2 3" xfId="5428" xr:uid="{00000000-0005-0000-0000-0000A1090000}"/>
    <cellStyle name="Heading 1 3" xfId="258" xr:uid="{00000000-0005-0000-0000-0000A2090000}"/>
    <cellStyle name="Heading 1 3 2" xfId="1599" xr:uid="{00000000-0005-0000-0000-0000A3090000}"/>
    <cellStyle name="Heading 1 3 2 2" xfId="5429" xr:uid="{00000000-0005-0000-0000-0000A4090000}"/>
    <cellStyle name="Heading 1 3 3" xfId="5430" xr:uid="{00000000-0005-0000-0000-0000A5090000}"/>
    <cellStyle name="Heading 1 4" xfId="563" xr:uid="{00000000-0005-0000-0000-0000A6090000}"/>
    <cellStyle name="Heading 1 4 2" xfId="1600" xr:uid="{00000000-0005-0000-0000-0000A7090000}"/>
    <cellStyle name="Heading 1 4 2 2" xfId="5431" xr:uid="{00000000-0005-0000-0000-0000A8090000}"/>
    <cellStyle name="Heading 1 4 3" xfId="1601" xr:uid="{00000000-0005-0000-0000-0000A9090000}"/>
    <cellStyle name="Heading 1 4 4" xfId="6470" xr:uid="{00000000-0005-0000-0000-0000AA090000}"/>
    <cellStyle name="Heading 1 5" xfId="564" xr:uid="{00000000-0005-0000-0000-0000AB090000}"/>
    <cellStyle name="Heading 1 6" xfId="561" xr:uid="{00000000-0005-0000-0000-0000AC090000}"/>
    <cellStyle name="Heading 2" xfId="259" builtinId="17" customBuiltin="1"/>
    <cellStyle name="Heading 2 2" xfId="260" xr:uid="{00000000-0005-0000-0000-0000AE090000}"/>
    <cellStyle name="Heading 2 2 2" xfId="566" xr:uid="{00000000-0005-0000-0000-0000AF090000}"/>
    <cellStyle name="Heading 2 2 2 2" xfId="1603" xr:uid="{00000000-0005-0000-0000-0000B0090000}"/>
    <cellStyle name="Heading 2 2 2 3" xfId="1604" xr:uid="{00000000-0005-0000-0000-0000B1090000}"/>
    <cellStyle name="Heading 2 2 2 4" xfId="1605" xr:uid="{00000000-0005-0000-0000-0000B2090000}"/>
    <cellStyle name="Heading 2 2 2 5" xfId="1602" xr:uid="{00000000-0005-0000-0000-0000B3090000}"/>
    <cellStyle name="Heading 2 2 2 6" xfId="5432" xr:uid="{00000000-0005-0000-0000-0000B4090000}"/>
    <cellStyle name="Heading 2 2 3" xfId="5433" xr:uid="{00000000-0005-0000-0000-0000B5090000}"/>
    <cellStyle name="Heading 2 3" xfId="261" xr:uid="{00000000-0005-0000-0000-0000B6090000}"/>
    <cellStyle name="Heading 2 3 2" xfId="1606" xr:uid="{00000000-0005-0000-0000-0000B7090000}"/>
    <cellStyle name="Heading 2 3 2 2" xfId="5434" xr:uid="{00000000-0005-0000-0000-0000B8090000}"/>
    <cellStyle name="Heading 2 3 3" xfId="5435" xr:uid="{00000000-0005-0000-0000-0000B9090000}"/>
    <cellStyle name="Heading 2 4" xfId="567" xr:uid="{00000000-0005-0000-0000-0000BA090000}"/>
    <cellStyle name="Heading 2 4 2" xfId="1607" xr:uid="{00000000-0005-0000-0000-0000BB090000}"/>
    <cellStyle name="Heading 2 4 2 2" xfId="5436" xr:uid="{00000000-0005-0000-0000-0000BC090000}"/>
    <cellStyle name="Heading 2 4 3" xfId="1608" xr:uid="{00000000-0005-0000-0000-0000BD090000}"/>
    <cellStyle name="Heading 2 4 4" xfId="6496" xr:uid="{00000000-0005-0000-0000-0000BE090000}"/>
    <cellStyle name="Heading 2 5" xfId="568" xr:uid="{00000000-0005-0000-0000-0000BF090000}"/>
    <cellStyle name="Heading 2 6" xfId="565" xr:uid="{00000000-0005-0000-0000-0000C0090000}"/>
    <cellStyle name="Heading 3" xfId="262" builtinId="18" customBuiltin="1"/>
    <cellStyle name="Heading 3 2" xfId="263" xr:uid="{00000000-0005-0000-0000-0000C2090000}"/>
    <cellStyle name="Heading 3 2 2" xfId="570" xr:uid="{00000000-0005-0000-0000-0000C3090000}"/>
    <cellStyle name="Heading 3 2 2 2" xfId="1610" xr:uid="{00000000-0005-0000-0000-0000C4090000}"/>
    <cellStyle name="Heading 3 2 2 3" xfId="1611" xr:uid="{00000000-0005-0000-0000-0000C5090000}"/>
    <cellStyle name="Heading 3 2 2 4" xfId="1612" xr:uid="{00000000-0005-0000-0000-0000C6090000}"/>
    <cellStyle name="Heading 3 2 2 5" xfId="1609" xr:uid="{00000000-0005-0000-0000-0000C7090000}"/>
    <cellStyle name="Heading 3 2 2 6" xfId="5437" xr:uid="{00000000-0005-0000-0000-0000C8090000}"/>
    <cellStyle name="Heading 3 2 3" xfId="5438" xr:uid="{00000000-0005-0000-0000-0000C9090000}"/>
    <cellStyle name="Heading 3 3" xfId="264" xr:uid="{00000000-0005-0000-0000-0000CA090000}"/>
    <cellStyle name="Heading 3 3 2" xfId="1613" xr:uid="{00000000-0005-0000-0000-0000CB090000}"/>
    <cellStyle name="Heading 3 3 2 2" xfId="1614" xr:uid="{00000000-0005-0000-0000-0000CC090000}"/>
    <cellStyle name="Heading 3 3 2 3" xfId="5439" xr:uid="{00000000-0005-0000-0000-0000CD090000}"/>
    <cellStyle name="Heading 3 3 3" xfId="5440" xr:uid="{00000000-0005-0000-0000-0000CE090000}"/>
    <cellStyle name="Heading 3 4" xfId="571" xr:uid="{00000000-0005-0000-0000-0000CF090000}"/>
    <cellStyle name="Heading 3 4 2" xfId="1615" xr:uid="{00000000-0005-0000-0000-0000D0090000}"/>
    <cellStyle name="Heading 3 4 2 2" xfId="1616" xr:uid="{00000000-0005-0000-0000-0000D1090000}"/>
    <cellStyle name="Heading 3 4 2 3" xfId="5441" xr:uid="{00000000-0005-0000-0000-0000D2090000}"/>
    <cellStyle name="Heading 3 4 3" xfId="1617" xr:uid="{00000000-0005-0000-0000-0000D3090000}"/>
    <cellStyle name="Heading 3 4 4" xfId="6457" xr:uid="{00000000-0005-0000-0000-0000D4090000}"/>
    <cellStyle name="Heading 3 5" xfId="572" xr:uid="{00000000-0005-0000-0000-0000D5090000}"/>
    <cellStyle name="Heading 3 6" xfId="569" xr:uid="{00000000-0005-0000-0000-0000D6090000}"/>
    <cellStyle name="Heading 4" xfId="265" builtinId="19" customBuiltin="1"/>
    <cellStyle name="Heading 4 2" xfId="266" xr:uid="{00000000-0005-0000-0000-0000D8090000}"/>
    <cellStyle name="Heading 4 2 2" xfId="574" xr:uid="{00000000-0005-0000-0000-0000D9090000}"/>
    <cellStyle name="Heading 4 2 2 2" xfId="1619" xr:uid="{00000000-0005-0000-0000-0000DA090000}"/>
    <cellStyle name="Heading 4 2 2 3" xfId="1620" xr:uid="{00000000-0005-0000-0000-0000DB090000}"/>
    <cellStyle name="Heading 4 2 2 4" xfId="1621" xr:uid="{00000000-0005-0000-0000-0000DC090000}"/>
    <cellStyle name="Heading 4 2 2 5" xfId="1618" xr:uid="{00000000-0005-0000-0000-0000DD090000}"/>
    <cellStyle name="Heading 4 2 2 6" xfId="5442" xr:uid="{00000000-0005-0000-0000-0000DE090000}"/>
    <cellStyle name="Heading 4 2 3" xfId="5443" xr:uid="{00000000-0005-0000-0000-0000DF090000}"/>
    <cellStyle name="Heading 4 3" xfId="267" xr:uid="{00000000-0005-0000-0000-0000E0090000}"/>
    <cellStyle name="Heading 4 3 2" xfId="1622" xr:uid="{00000000-0005-0000-0000-0000E1090000}"/>
    <cellStyle name="Heading 4 3 2 2" xfId="5444" xr:uid="{00000000-0005-0000-0000-0000E2090000}"/>
    <cellStyle name="Heading 4 3 3" xfId="5445" xr:uid="{00000000-0005-0000-0000-0000E3090000}"/>
    <cellStyle name="Heading 4 4" xfId="575" xr:uid="{00000000-0005-0000-0000-0000E4090000}"/>
    <cellStyle name="Heading 4 4 2" xfId="1623" xr:uid="{00000000-0005-0000-0000-0000E5090000}"/>
    <cellStyle name="Heading 4 4 2 2" xfId="5446" xr:uid="{00000000-0005-0000-0000-0000E6090000}"/>
    <cellStyle name="Heading 4 4 3" xfId="1624" xr:uid="{00000000-0005-0000-0000-0000E7090000}"/>
    <cellStyle name="Heading 4 4 4" xfId="6467" xr:uid="{00000000-0005-0000-0000-0000E8090000}"/>
    <cellStyle name="Heading 4 5" xfId="576" xr:uid="{00000000-0005-0000-0000-0000E9090000}"/>
    <cellStyle name="Heading 4 6" xfId="573" xr:uid="{00000000-0005-0000-0000-0000EA090000}"/>
    <cellStyle name="Hyperlink 2" xfId="577" xr:uid="{00000000-0005-0000-0000-0000EB090000}"/>
    <cellStyle name="Hyperlink 2 2" xfId="1626" xr:uid="{00000000-0005-0000-0000-0000EC090000}"/>
    <cellStyle name="Hyperlink 2 2 2" xfId="1627" xr:uid="{00000000-0005-0000-0000-0000ED090000}"/>
    <cellStyle name="Hyperlink 2 2 2 2" xfId="5448" xr:uid="{00000000-0005-0000-0000-0000EE090000}"/>
    <cellStyle name="Hyperlink 2 2 3" xfId="1628" xr:uid="{00000000-0005-0000-0000-0000EF090000}"/>
    <cellStyle name="Hyperlink 2 2 4" xfId="1629" xr:uid="{00000000-0005-0000-0000-0000F0090000}"/>
    <cellStyle name="Hyperlink 2 2 5" xfId="5447" xr:uid="{00000000-0005-0000-0000-0000F1090000}"/>
    <cellStyle name="Hyperlink 2 3" xfId="1630" xr:uid="{00000000-0005-0000-0000-0000F2090000}"/>
    <cellStyle name="Hyperlink 2 3 2" xfId="5449" xr:uid="{00000000-0005-0000-0000-0000F3090000}"/>
    <cellStyle name="Hyperlink 2 4" xfId="1631" xr:uid="{00000000-0005-0000-0000-0000F4090000}"/>
    <cellStyle name="Hyperlink 2 4 2" xfId="5450" xr:uid="{00000000-0005-0000-0000-0000F5090000}"/>
    <cellStyle name="Hyperlink 2 5" xfId="1632" xr:uid="{00000000-0005-0000-0000-0000F6090000}"/>
    <cellStyle name="Hyperlink 2 6" xfId="1625" xr:uid="{00000000-0005-0000-0000-0000F7090000}"/>
    <cellStyle name="Hyperlink 2 7" xfId="6479" xr:uid="{00000000-0005-0000-0000-0000F8090000}"/>
    <cellStyle name="Hyperlink 3" xfId="578" xr:uid="{00000000-0005-0000-0000-0000F9090000}"/>
    <cellStyle name="Hyperlink 3 2" xfId="1633" xr:uid="{00000000-0005-0000-0000-0000FA090000}"/>
    <cellStyle name="Hyperlink 3 2 2" xfId="1634" xr:uid="{00000000-0005-0000-0000-0000FB090000}"/>
    <cellStyle name="Hyperlink 3 2 2 2" xfId="1635" xr:uid="{00000000-0005-0000-0000-0000FC090000}"/>
    <cellStyle name="Hyperlink 3 2 3" xfId="5451" xr:uid="{00000000-0005-0000-0000-0000FD090000}"/>
    <cellStyle name="Hyperlink 3 3" xfId="1636" xr:uid="{00000000-0005-0000-0000-0000FE090000}"/>
    <cellStyle name="Hyperlink 3 3 2" xfId="1637" xr:uid="{00000000-0005-0000-0000-0000FF090000}"/>
    <cellStyle name="Hyperlink 3 3 3" xfId="5452" xr:uid="{00000000-0005-0000-0000-0000000A0000}"/>
    <cellStyle name="Hyperlink 3 4" xfId="1638" xr:uid="{00000000-0005-0000-0000-0000010A0000}"/>
    <cellStyle name="Hyperlink 3 4 2" xfId="5453" xr:uid="{00000000-0005-0000-0000-0000020A0000}"/>
    <cellStyle name="Hyperlink 3 5" xfId="1639" xr:uid="{00000000-0005-0000-0000-0000030A0000}"/>
    <cellStyle name="Hyperlink 3 6" xfId="1640" xr:uid="{00000000-0005-0000-0000-0000040A0000}"/>
    <cellStyle name="Hyperlink 3 7" xfId="6473" xr:uid="{00000000-0005-0000-0000-0000050A0000}"/>
    <cellStyle name="Hyperlink 3 8" xfId="6446" xr:uid="{00000000-0005-0000-0000-0000060A0000}"/>
    <cellStyle name="Hyperlink 4" xfId="579" xr:uid="{00000000-0005-0000-0000-0000070A0000}"/>
    <cellStyle name="Hyperlink 4 2" xfId="1641" xr:uid="{00000000-0005-0000-0000-0000080A0000}"/>
    <cellStyle name="Hyperlink 4 2 2" xfId="5455" xr:uid="{00000000-0005-0000-0000-0000090A0000}"/>
    <cellStyle name="Hyperlink 4 3" xfId="1642" xr:uid="{00000000-0005-0000-0000-00000A0A0000}"/>
    <cellStyle name="Hyperlink 4 3 2" xfId="5456" xr:uid="{00000000-0005-0000-0000-00000B0A0000}"/>
    <cellStyle name="Hyperlink 4 4" xfId="1643" xr:uid="{00000000-0005-0000-0000-00000C0A0000}"/>
    <cellStyle name="Hyperlink 4 4 2" xfId="1644" xr:uid="{00000000-0005-0000-0000-00000D0A0000}"/>
    <cellStyle name="Hyperlink 4 5" xfId="1645" xr:uid="{00000000-0005-0000-0000-00000E0A0000}"/>
    <cellStyle name="Hyperlink 4 5 2" xfId="1646" xr:uid="{00000000-0005-0000-0000-00000F0A0000}"/>
    <cellStyle name="Hyperlink 4 6" xfId="1647" xr:uid="{00000000-0005-0000-0000-0000100A0000}"/>
    <cellStyle name="Hyperlink 4 7" xfId="5454" xr:uid="{00000000-0005-0000-0000-0000110A0000}"/>
    <cellStyle name="Hyperlink 5" xfId="1648" xr:uid="{00000000-0005-0000-0000-0000120A0000}"/>
    <cellStyle name="iles|_x0005_h" xfId="1649" xr:uid="{00000000-0005-0000-0000-0000130A0000}"/>
    <cellStyle name="iles|_x0005_h 2" xfId="1650" xr:uid="{00000000-0005-0000-0000-0000140A0000}"/>
    <cellStyle name="iles|_x0005_h 2 2" xfId="5458" xr:uid="{00000000-0005-0000-0000-0000150A0000}"/>
    <cellStyle name="iles|_x0005_h 3" xfId="5457" xr:uid="{00000000-0005-0000-0000-0000160A0000}"/>
    <cellStyle name="Input" xfId="268" builtinId="20" customBuiltin="1"/>
    <cellStyle name="Input [yellow]" xfId="1651" xr:uid="{00000000-0005-0000-0000-0000180A0000}"/>
    <cellStyle name="Input [yellow] 2" xfId="5460" xr:uid="{00000000-0005-0000-0000-0000190A0000}"/>
    <cellStyle name="Input 10" xfId="1652" xr:uid="{00000000-0005-0000-0000-00001A0A0000}"/>
    <cellStyle name="Input 10 2" xfId="1653" xr:uid="{00000000-0005-0000-0000-00001B0A0000}"/>
    <cellStyle name="Input 10 2 2" xfId="5462" xr:uid="{00000000-0005-0000-0000-00001C0A0000}"/>
    <cellStyle name="Input 10 3" xfId="5461" xr:uid="{00000000-0005-0000-0000-00001D0A0000}"/>
    <cellStyle name="Input 100" xfId="1654" xr:uid="{00000000-0005-0000-0000-00001E0A0000}"/>
    <cellStyle name="Input 100 2" xfId="1655" xr:uid="{00000000-0005-0000-0000-00001F0A0000}"/>
    <cellStyle name="Input 100 2 2" xfId="5464" xr:uid="{00000000-0005-0000-0000-0000200A0000}"/>
    <cellStyle name="Input 100 3" xfId="5463" xr:uid="{00000000-0005-0000-0000-0000210A0000}"/>
    <cellStyle name="Input 101" xfId="1656" xr:uid="{00000000-0005-0000-0000-0000220A0000}"/>
    <cellStyle name="Input 101 2" xfId="1657" xr:uid="{00000000-0005-0000-0000-0000230A0000}"/>
    <cellStyle name="Input 101 2 2" xfId="5466" xr:uid="{00000000-0005-0000-0000-0000240A0000}"/>
    <cellStyle name="Input 101 3" xfId="5465" xr:uid="{00000000-0005-0000-0000-0000250A0000}"/>
    <cellStyle name="Input 102" xfId="1658" xr:uid="{00000000-0005-0000-0000-0000260A0000}"/>
    <cellStyle name="Input 102 2" xfId="1659" xr:uid="{00000000-0005-0000-0000-0000270A0000}"/>
    <cellStyle name="Input 102 2 2" xfId="5468" xr:uid="{00000000-0005-0000-0000-0000280A0000}"/>
    <cellStyle name="Input 102 3" xfId="5467" xr:uid="{00000000-0005-0000-0000-0000290A0000}"/>
    <cellStyle name="Input 103" xfId="1660" xr:uid="{00000000-0005-0000-0000-00002A0A0000}"/>
    <cellStyle name="Input 103 2" xfId="1661" xr:uid="{00000000-0005-0000-0000-00002B0A0000}"/>
    <cellStyle name="Input 103 2 2" xfId="5470" xr:uid="{00000000-0005-0000-0000-00002C0A0000}"/>
    <cellStyle name="Input 103 3" xfId="5469" xr:uid="{00000000-0005-0000-0000-00002D0A0000}"/>
    <cellStyle name="Input 104" xfId="1662" xr:uid="{00000000-0005-0000-0000-00002E0A0000}"/>
    <cellStyle name="Input 104 2" xfId="1663" xr:uid="{00000000-0005-0000-0000-00002F0A0000}"/>
    <cellStyle name="Input 104 2 2" xfId="5472" xr:uid="{00000000-0005-0000-0000-0000300A0000}"/>
    <cellStyle name="Input 104 3" xfId="5471" xr:uid="{00000000-0005-0000-0000-0000310A0000}"/>
    <cellStyle name="Input 105" xfId="1664" xr:uid="{00000000-0005-0000-0000-0000320A0000}"/>
    <cellStyle name="Input 105 2" xfId="1665" xr:uid="{00000000-0005-0000-0000-0000330A0000}"/>
    <cellStyle name="Input 105 2 2" xfId="5474" xr:uid="{00000000-0005-0000-0000-0000340A0000}"/>
    <cellStyle name="Input 105 3" xfId="5473" xr:uid="{00000000-0005-0000-0000-0000350A0000}"/>
    <cellStyle name="Input 106" xfId="1666" xr:uid="{00000000-0005-0000-0000-0000360A0000}"/>
    <cellStyle name="Input 106 2" xfId="1667" xr:uid="{00000000-0005-0000-0000-0000370A0000}"/>
    <cellStyle name="Input 106 2 2" xfId="5476" xr:uid="{00000000-0005-0000-0000-0000380A0000}"/>
    <cellStyle name="Input 106 3" xfId="5475" xr:uid="{00000000-0005-0000-0000-0000390A0000}"/>
    <cellStyle name="Input 107" xfId="1668" xr:uid="{00000000-0005-0000-0000-00003A0A0000}"/>
    <cellStyle name="Input 107 2" xfId="1669" xr:uid="{00000000-0005-0000-0000-00003B0A0000}"/>
    <cellStyle name="Input 107 2 2" xfId="5478" xr:uid="{00000000-0005-0000-0000-00003C0A0000}"/>
    <cellStyle name="Input 107 3" xfId="5477" xr:uid="{00000000-0005-0000-0000-00003D0A0000}"/>
    <cellStyle name="Input 108" xfId="1670" xr:uid="{00000000-0005-0000-0000-00003E0A0000}"/>
    <cellStyle name="Input 108 2" xfId="1671" xr:uid="{00000000-0005-0000-0000-00003F0A0000}"/>
    <cellStyle name="Input 108 2 2" xfId="5480" xr:uid="{00000000-0005-0000-0000-0000400A0000}"/>
    <cellStyle name="Input 108 3" xfId="5479" xr:uid="{00000000-0005-0000-0000-0000410A0000}"/>
    <cellStyle name="Input 109" xfId="1672" xr:uid="{00000000-0005-0000-0000-0000420A0000}"/>
    <cellStyle name="Input 109 2" xfId="1673" xr:uid="{00000000-0005-0000-0000-0000430A0000}"/>
    <cellStyle name="Input 109 2 2" xfId="5482" xr:uid="{00000000-0005-0000-0000-0000440A0000}"/>
    <cellStyle name="Input 109 3" xfId="5481" xr:uid="{00000000-0005-0000-0000-0000450A0000}"/>
    <cellStyle name="Input 11" xfId="1674" xr:uid="{00000000-0005-0000-0000-0000460A0000}"/>
    <cellStyle name="Input 11 2" xfId="1675" xr:uid="{00000000-0005-0000-0000-0000470A0000}"/>
    <cellStyle name="Input 11 2 2" xfId="5484" xr:uid="{00000000-0005-0000-0000-0000480A0000}"/>
    <cellStyle name="Input 11 3" xfId="5483" xr:uid="{00000000-0005-0000-0000-0000490A0000}"/>
    <cellStyle name="Input 110" xfId="1676" xr:uid="{00000000-0005-0000-0000-00004A0A0000}"/>
    <cellStyle name="Input 110 2" xfId="1677" xr:uid="{00000000-0005-0000-0000-00004B0A0000}"/>
    <cellStyle name="Input 110 2 2" xfId="5486" xr:uid="{00000000-0005-0000-0000-00004C0A0000}"/>
    <cellStyle name="Input 110 3" xfId="5485" xr:uid="{00000000-0005-0000-0000-00004D0A0000}"/>
    <cellStyle name="Input 111" xfId="1678" xr:uid="{00000000-0005-0000-0000-00004E0A0000}"/>
    <cellStyle name="Input 111 2" xfId="1679" xr:uid="{00000000-0005-0000-0000-00004F0A0000}"/>
    <cellStyle name="Input 111 2 2" xfId="5488" xr:uid="{00000000-0005-0000-0000-0000500A0000}"/>
    <cellStyle name="Input 111 3" xfId="5487" xr:uid="{00000000-0005-0000-0000-0000510A0000}"/>
    <cellStyle name="Input 112" xfId="1680" xr:uid="{00000000-0005-0000-0000-0000520A0000}"/>
    <cellStyle name="Input 112 2" xfId="1681" xr:uid="{00000000-0005-0000-0000-0000530A0000}"/>
    <cellStyle name="Input 112 2 2" xfId="5490" xr:uid="{00000000-0005-0000-0000-0000540A0000}"/>
    <cellStyle name="Input 112 3" xfId="5489" xr:uid="{00000000-0005-0000-0000-0000550A0000}"/>
    <cellStyle name="Input 113" xfId="1682" xr:uid="{00000000-0005-0000-0000-0000560A0000}"/>
    <cellStyle name="Input 113 2" xfId="1683" xr:uid="{00000000-0005-0000-0000-0000570A0000}"/>
    <cellStyle name="Input 113 2 2" xfId="5492" xr:uid="{00000000-0005-0000-0000-0000580A0000}"/>
    <cellStyle name="Input 113 3" xfId="5491" xr:uid="{00000000-0005-0000-0000-0000590A0000}"/>
    <cellStyle name="Input 114" xfId="1684" xr:uid="{00000000-0005-0000-0000-00005A0A0000}"/>
    <cellStyle name="Input 114 2" xfId="1685" xr:uid="{00000000-0005-0000-0000-00005B0A0000}"/>
    <cellStyle name="Input 114 2 2" xfId="5494" xr:uid="{00000000-0005-0000-0000-00005C0A0000}"/>
    <cellStyle name="Input 114 3" xfId="5493" xr:uid="{00000000-0005-0000-0000-00005D0A0000}"/>
    <cellStyle name="Input 115" xfId="1686" xr:uid="{00000000-0005-0000-0000-00005E0A0000}"/>
    <cellStyle name="Input 115 2" xfId="1687" xr:uid="{00000000-0005-0000-0000-00005F0A0000}"/>
    <cellStyle name="Input 115 2 2" xfId="5496" xr:uid="{00000000-0005-0000-0000-0000600A0000}"/>
    <cellStyle name="Input 115 3" xfId="5495" xr:uid="{00000000-0005-0000-0000-0000610A0000}"/>
    <cellStyle name="Input 116" xfId="1688" xr:uid="{00000000-0005-0000-0000-0000620A0000}"/>
    <cellStyle name="Input 116 2" xfId="1689" xr:uid="{00000000-0005-0000-0000-0000630A0000}"/>
    <cellStyle name="Input 116 2 2" xfId="5498" xr:uid="{00000000-0005-0000-0000-0000640A0000}"/>
    <cellStyle name="Input 116 3" xfId="5497" xr:uid="{00000000-0005-0000-0000-0000650A0000}"/>
    <cellStyle name="Input 117" xfId="1690" xr:uid="{00000000-0005-0000-0000-0000660A0000}"/>
    <cellStyle name="Input 117 2" xfId="1691" xr:uid="{00000000-0005-0000-0000-0000670A0000}"/>
    <cellStyle name="Input 117 2 2" xfId="5500" xr:uid="{00000000-0005-0000-0000-0000680A0000}"/>
    <cellStyle name="Input 117 3" xfId="5499" xr:uid="{00000000-0005-0000-0000-0000690A0000}"/>
    <cellStyle name="Input 118" xfId="1692" xr:uid="{00000000-0005-0000-0000-00006A0A0000}"/>
    <cellStyle name="Input 118 2" xfId="1693" xr:uid="{00000000-0005-0000-0000-00006B0A0000}"/>
    <cellStyle name="Input 118 2 2" xfId="5502" xr:uid="{00000000-0005-0000-0000-00006C0A0000}"/>
    <cellStyle name="Input 118 3" xfId="5501" xr:uid="{00000000-0005-0000-0000-00006D0A0000}"/>
    <cellStyle name="Input 119" xfId="1694" xr:uid="{00000000-0005-0000-0000-00006E0A0000}"/>
    <cellStyle name="Input 119 2" xfId="1695" xr:uid="{00000000-0005-0000-0000-00006F0A0000}"/>
    <cellStyle name="Input 119 2 2" xfId="5504" xr:uid="{00000000-0005-0000-0000-0000700A0000}"/>
    <cellStyle name="Input 119 3" xfId="5503" xr:uid="{00000000-0005-0000-0000-0000710A0000}"/>
    <cellStyle name="Input 12" xfId="1696" xr:uid="{00000000-0005-0000-0000-0000720A0000}"/>
    <cellStyle name="Input 12 2" xfId="1697" xr:uid="{00000000-0005-0000-0000-0000730A0000}"/>
    <cellStyle name="Input 12 2 2" xfId="5506" xr:uid="{00000000-0005-0000-0000-0000740A0000}"/>
    <cellStyle name="Input 12 3" xfId="5505" xr:uid="{00000000-0005-0000-0000-0000750A0000}"/>
    <cellStyle name="Input 120" xfId="1698" xr:uid="{00000000-0005-0000-0000-0000760A0000}"/>
    <cellStyle name="Input 120 2" xfId="1699" xr:uid="{00000000-0005-0000-0000-0000770A0000}"/>
    <cellStyle name="Input 120 2 2" xfId="5508" xr:uid="{00000000-0005-0000-0000-0000780A0000}"/>
    <cellStyle name="Input 120 3" xfId="5507" xr:uid="{00000000-0005-0000-0000-0000790A0000}"/>
    <cellStyle name="Input 121" xfId="1700" xr:uid="{00000000-0005-0000-0000-00007A0A0000}"/>
    <cellStyle name="Input 121 2" xfId="1701" xr:uid="{00000000-0005-0000-0000-00007B0A0000}"/>
    <cellStyle name="Input 121 2 2" xfId="5510" xr:uid="{00000000-0005-0000-0000-00007C0A0000}"/>
    <cellStyle name="Input 121 3" xfId="5509" xr:uid="{00000000-0005-0000-0000-00007D0A0000}"/>
    <cellStyle name="Input 122" xfId="1702" xr:uid="{00000000-0005-0000-0000-00007E0A0000}"/>
    <cellStyle name="Input 122 2" xfId="1703" xr:uid="{00000000-0005-0000-0000-00007F0A0000}"/>
    <cellStyle name="Input 122 2 2" xfId="5512" xr:uid="{00000000-0005-0000-0000-0000800A0000}"/>
    <cellStyle name="Input 122 3" xfId="5511" xr:uid="{00000000-0005-0000-0000-0000810A0000}"/>
    <cellStyle name="Input 123" xfId="1704" xr:uid="{00000000-0005-0000-0000-0000820A0000}"/>
    <cellStyle name="Input 123 2" xfId="1705" xr:uid="{00000000-0005-0000-0000-0000830A0000}"/>
    <cellStyle name="Input 123 2 2" xfId="5514" xr:uid="{00000000-0005-0000-0000-0000840A0000}"/>
    <cellStyle name="Input 123 3" xfId="5513" xr:uid="{00000000-0005-0000-0000-0000850A0000}"/>
    <cellStyle name="Input 124" xfId="1706" xr:uid="{00000000-0005-0000-0000-0000860A0000}"/>
    <cellStyle name="Input 124 2" xfId="1707" xr:uid="{00000000-0005-0000-0000-0000870A0000}"/>
    <cellStyle name="Input 124 2 2" xfId="5516" xr:uid="{00000000-0005-0000-0000-0000880A0000}"/>
    <cellStyle name="Input 124 3" xfId="5515" xr:uid="{00000000-0005-0000-0000-0000890A0000}"/>
    <cellStyle name="Input 125" xfId="1708" xr:uid="{00000000-0005-0000-0000-00008A0A0000}"/>
    <cellStyle name="Input 125 2" xfId="1709" xr:uid="{00000000-0005-0000-0000-00008B0A0000}"/>
    <cellStyle name="Input 125 2 2" xfId="5518" xr:uid="{00000000-0005-0000-0000-00008C0A0000}"/>
    <cellStyle name="Input 125 3" xfId="5517" xr:uid="{00000000-0005-0000-0000-00008D0A0000}"/>
    <cellStyle name="Input 126" xfId="1710" xr:uid="{00000000-0005-0000-0000-00008E0A0000}"/>
    <cellStyle name="Input 126 2" xfId="1711" xr:uid="{00000000-0005-0000-0000-00008F0A0000}"/>
    <cellStyle name="Input 126 2 2" xfId="5520" xr:uid="{00000000-0005-0000-0000-0000900A0000}"/>
    <cellStyle name="Input 126 3" xfId="5519" xr:uid="{00000000-0005-0000-0000-0000910A0000}"/>
    <cellStyle name="Input 127" xfId="1712" xr:uid="{00000000-0005-0000-0000-0000920A0000}"/>
    <cellStyle name="Input 127 2" xfId="1713" xr:uid="{00000000-0005-0000-0000-0000930A0000}"/>
    <cellStyle name="Input 127 2 2" xfId="5522" xr:uid="{00000000-0005-0000-0000-0000940A0000}"/>
    <cellStyle name="Input 127 3" xfId="5521" xr:uid="{00000000-0005-0000-0000-0000950A0000}"/>
    <cellStyle name="Input 128" xfId="1714" xr:uid="{00000000-0005-0000-0000-0000960A0000}"/>
    <cellStyle name="Input 128 2" xfId="1715" xr:uid="{00000000-0005-0000-0000-0000970A0000}"/>
    <cellStyle name="Input 128 2 2" xfId="5524" xr:uid="{00000000-0005-0000-0000-0000980A0000}"/>
    <cellStyle name="Input 128 3" xfId="5523" xr:uid="{00000000-0005-0000-0000-0000990A0000}"/>
    <cellStyle name="Input 129" xfId="1716" xr:uid="{00000000-0005-0000-0000-00009A0A0000}"/>
    <cellStyle name="Input 129 2" xfId="1717" xr:uid="{00000000-0005-0000-0000-00009B0A0000}"/>
    <cellStyle name="Input 129 2 2" xfId="5526" xr:uid="{00000000-0005-0000-0000-00009C0A0000}"/>
    <cellStyle name="Input 129 3" xfId="5525" xr:uid="{00000000-0005-0000-0000-00009D0A0000}"/>
    <cellStyle name="Input 13" xfId="1718" xr:uid="{00000000-0005-0000-0000-00009E0A0000}"/>
    <cellStyle name="Input 13 2" xfId="1719" xr:uid="{00000000-0005-0000-0000-00009F0A0000}"/>
    <cellStyle name="Input 13 2 2" xfId="5528" xr:uid="{00000000-0005-0000-0000-0000A00A0000}"/>
    <cellStyle name="Input 13 3" xfId="5527" xr:uid="{00000000-0005-0000-0000-0000A10A0000}"/>
    <cellStyle name="Input 130" xfId="1720" xr:uid="{00000000-0005-0000-0000-0000A20A0000}"/>
    <cellStyle name="Input 130 2" xfId="1721" xr:uid="{00000000-0005-0000-0000-0000A30A0000}"/>
    <cellStyle name="Input 130 2 2" xfId="5530" xr:uid="{00000000-0005-0000-0000-0000A40A0000}"/>
    <cellStyle name="Input 130 3" xfId="5529" xr:uid="{00000000-0005-0000-0000-0000A50A0000}"/>
    <cellStyle name="Input 131" xfId="1722" xr:uid="{00000000-0005-0000-0000-0000A60A0000}"/>
    <cellStyle name="Input 131 2" xfId="1723" xr:uid="{00000000-0005-0000-0000-0000A70A0000}"/>
    <cellStyle name="Input 131 2 2" xfId="5532" xr:uid="{00000000-0005-0000-0000-0000A80A0000}"/>
    <cellStyle name="Input 131 3" xfId="5531" xr:uid="{00000000-0005-0000-0000-0000A90A0000}"/>
    <cellStyle name="Input 132" xfId="1724" xr:uid="{00000000-0005-0000-0000-0000AA0A0000}"/>
    <cellStyle name="Input 132 2" xfId="1725" xr:uid="{00000000-0005-0000-0000-0000AB0A0000}"/>
    <cellStyle name="Input 132 2 2" xfId="5534" xr:uid="{00000000-0005-0000-0000-0000AC0A0000}"/>
    <cellStyle name="Input 132 3" xfId="5533" xr:uid="{00000000-0005-0000-0000-0000AD0A0000}"/>
    <cellStyle name="Input 133" xfId="1726" xr:uid="{00000000-0005-0000-0000-0000AE0A0000}"/>
    <cellStyle name="Input 133 2" xfId="1727" xr:uid="{00000000-0005-0000-0000-0000AF0A0000}"/>
    <cellStyle name="Input 133 2 2" xfId="5536" xr:uid="{00000000-0005-0000-0000-0000B00A0000}"/>
    <cellStyle name="Input 133 3" xfId="5535" xr:uid="{00000000-0005-0000-0000-0000B10A0000}"/>
    <cellStyle name="Input 134" xfId="1728" xr:uid="{00000000-0005-0000-0000-0000B20A0000}"/>
    <cellStyle name="Input 134 2" xfId="1729" xr:uid="{00000000-0005-0000-0000-0000B30A0000}"/>
    <cellStyle name="Input 134 2 2" xfId="5538" xr:uid="{00000000-0005-0000-0000-0000B40A0000}"/>
    <cellStyle name="Input 134 3" xfId="5537" xr:uid="{00000000-0005-0000-0000-0000B50A0000}"/>
    <cellStyle name="Input 135" xfId="1730" xr:uid="{00000000-0005-0000-0000-0000B60A0000}"/>
    <cellStyle name="Input 135 2" xfId="1731" xr:uid="{00000000-0005-0000-0000-0000B70A0000}"/>
    <cellStyle name="Input 135 2 2" xfId="5540" xr:uid="{00000000-0005-0000-0000-0000B80A0000}"/>
    <cellStyle name="Input 135 3" xfId="5539" xr:uid="{00000000-0005-0000-0000-0000B90A0000}"/>
    <cellStyle name="Input 136" xfId="1732" xr:uid="{00000000-0005-0000-0000-0000BA0A0000}"/>
    <cellStyle name="Input 136 2" xfId="1733" xr:uid="{00000000-0005-0000-0000-0000BB0A0000}"/>
    <cellStyle name="Input 136 2 2" xfId="5542" xr:uid="{00000000-0005-0000-0000-0000BC0A0000}"/>
    <cellStyle name="Input 136 3" xfId="5541" xr:uid="{00000000-0005-0000-0000-0000BD0A0000}"/>
    <cellStyle name="Input 137" xfId="1734" xr:uid="{00000000-0005-0000-0000-0000BE0A0000}"/>
    <cellStyle name="Input 137 2" xfId="1735" xr:uid="{00000000-0005-0000-0000-0000BF0A0000}"/>
    <cellStyle name="Input 137 2 2" xfId="5544" xr:uid="{00000000-0005-0000-0000-0000C00A0000}"/>
    <cellStyle name="Input 137 3" xfId="5543" xr:uid="{00000000-0005-0000-0000-0000C10A0000}"/>
    <cellStyle name="Input 138" xfId="1736" xr:uid="{00000000-0005-0000-0000-0000C20A0000}"/>
    <cellStyle name="Input 138 2" xfId="1737" xr:uid="{00000000-0005-0000-0000-0000C30A0000}"/>
    <cellStyle name="Input 138 2 2" xfId="5546" xr:uid="{00000000-0005-0000-0000-0000C40A0000}"/>
    <cellStyle name="Input 138 3" xfId="5545" xr:uid="{00000000-0005-0000-0000-0000C50A0000}"/>
    <cellStyle name="Input 139" xfId="1738" xr:uid="{00000000-0005-0000-0000-0000C60A0000}"/>
    <cellStyle name="Input 139 2" xfId="1739" xr:uid="{00000000-0005-0000-0000-0000C70A0000}"/>
    <cellStyle name="Input 139 2 2" xfId="5548" xr:uid="{00000000-0005-0000-0000-0000C80A0000}"/>
    <cellStyle name="Input 139 3" xfId="5547" xr:uid="{00000000-0005-0000-0000-0000C90A0000}"/>
    <cellStyle name="Input 14" xfId="1740" xr:uid="{00000000-0005-0000-0000-0000CA0A0000}"/>
    <cellStyle name="Input 14 2" xfId="1741" xr:uid="{00000000-0005-0000-0000-0000CB0A0000}"/>
    <cellStyle name="Input 14 2 2" xfId="5550" xr:uid="{00000000-0005-0000-0000-0000CC0A0000}"/>
    <cellStyle name="Input 14 3" xfId="5549" xr:uid="{00000000-0005-0000-0000-0000CD0A0000}"/>
    <cellStyle name="Input 140" xfId="1742" xr:uid="{00000000-0005-0000-0000-0000CE0A0000}"/>
    <cellStyle name="Input 140 2" xfId="1743" xr:uid="{00000000-0005-0000-0000-0000CF0A0000}"/>
    <cellStyle name="Input 140 2 2" xfId="5552" xr:uid="{00000000-0005-0000-0000-0000D00A0000}"/>
    <cellStyle name="Input 140 3" xfId="5551" xr:uid="{00000000-0005-0000-0000-0000D10A0000}"/>
    <cellStyle name="Input 141" xfId="1744" xr:uid="{00000000-0005-0000-0000-0000D20A0000}"/>
    <cellStyle name="Input 141 2" xfId="1745" xr:uid="{00000000-0005-0000-0000-0000D30A0000}"/>
    <cellStyle name="Input 141 2 2" xfId="5554" xr:uid="{00000000-0005-0000-0000-0000D40A0000}"/>
    <cellStyle name="Input 141 3" xfId="5553" xr:uid="{00000000-0005-0000-0000-0000D50A0000}"/>
    <cellStyle name="Input 142" xfId="1746" xr:uid="{00000000-0005-0000-0000-0000D60A0000}"/>
    <cellStyle name="Input 142 2" xfId="1747" xr:uid="{00000000-0005-0000-0000-0000D70A0000}"/>
    <cellStyle name="Input 142 2 2" xfId="5556" xr:uid="{00000000-0005-0000-0000-0000D80A0000}"/>
    <cellStyle name="Input 142 3" xfId="5555" xr:uid="{00000000-0005-0000-0000-0000D90A0000}"/>
    <cellStyle name="Input 143" xfId="1748" xr:uid="{00000000-0005-0000-0000-0000DA0A0000}"/>
    <cellStyle name="Input 143 2" xfId="1749" xr:uid="{00000000-0005-0000-0000-0000DB0A0000}"/>
    <cellStyle name="Input 143 2 2" xfId="5558" xr:uid="{00000000-0005-0000-0000-0000DC0A0000}"/>
    <cellStyle name="Input 143 3" xfId="5557" xr:uid="{00000000-0005-0000-0000-0000DD0A0000}"/>
    <cellStyle name="Input 144" xfId="1750" xr:uid="{00000000-0005-0000-0000-0000DE0A0000}"/>
    <cellStyle name="Input 144 2" xfId="1751" xr:uid="{00000000-0005-0000-0000-0000DF0A0000}"/>
    <cellStyle name="Input 144 2 2" xfId="5560" xr:uid="{00000000-0005-0000-0000-0000E00A0000}"/>
    <cellStyle name="Input 144 3" xfId="5559" xr:uid="{00000000-0005-0000-0000-0000E10A0000}"/>
    <cellStyle name="Input 145" xfId="1752" xr:uid="{00000000-0005-0000-0000-0000E20A0000}"/>
    <cellStyle name="Input 145 2" xfId="1753" xr:uid="{00000000-0005-0000-0000-0000E30A0000}"/>
    <cellStyle name="Input 145 2 2" xfId="5562" xr:uid="{00000000-0005-0000-0000-0000E40A0000}"/>
    <cellStyle name="Input 145 3" xfId="5561" xr:uid="{00000000-0005-0000-0000-0000E50A0000}"/>
    <cellStyle name="Input 146" xfId="1754" xr:uid="{00000000-0005-0000-0000-0000E60A0000}"/>
    <cellStyle name="Input 146 2" xfId="1755" xr:uid="{00000000-0005-0000-0000-0000E70A0000}"/>
    <cellStyle name="Input 146 2 2" xfId="5564" xr:uid="{00000000-0005-0000-0000-0000E80A0000}"/>
    <cellStyle name="Input 146 3" xfId="5563" xr:uid="{00000000-0005-0000-0000-0000E90A0000}"/>
    <cellStyle name="Input 147" xfId="1756" xr:uid="{00000000-0005-0000-0000-0000EA0A0000}"/>
    <cellStyle name="Input 147 2" xfId="1757" xr:uid="{00000000-0005-0000-0000-0000EB0A0000}"/>
    <cellStyle name="Input 147 2 2" xfId="5566" xr:uid="{00000000-0005-0000-0000-0000EC0A0000}"/>
    <cellStyle name="Input 147 3" xfId="5565" xr:uid="{00000000-0005-0000-0000-0000ED0A0000}"/>
    <cellStyle name="Input 148" xfId="1758" xr:uid="{00000000-0005-0000-0000-0000EE0A0000}"/>
    <cellStyle name="Input 148 2" xfId="1759" xr:uid="{00000000-0005-0000-0000-0000EF0A0000}"/>
    <cellStyle name="Input 148 2 2" xfId="5568" xr:uid="{00000000-0005-0000-0000-0000F00A0000}"/>
    <cellStyle name="Input 148 3" xfId="5567" xr:uid="{00000000-0005-0000-0000-0000F10A0000}"/>
    <cellStyle name="Input 149" xfId="1760" xr:uid="{00000000-0005-0000-0000-0000F20A0000}"/>
    <cellStyle name="Input 149 2" xfId="1761" xr:uid="{00000000-0005-0000-0000-0000F30A0000}"/>
    <cellStyle name="Input 149 2 2" xfId="5570" xr:uid="{00000000-0005-0000-0000-0000F40A0000}"/>
    <cellStyle name="Input 149 3" xfId="5569" xr:uid="{00000000-0005-0000-0000-0000F50A0000}"/>
    <cellStyle name="Input 15" xfId="1762" xr:uid="{00000000-0005-0000-0000-0000F60A0000}"/>
    <cellStyle name="Input 15 2" xfId="1763" xr:uid="{00000000-0005-0000-0000-0000F70A0000}"/>
    <cellStyle name="Input 15 2 2" xfId="5572" xr:uid="{00000000-0005-0000-0000-0000F80A0000}"/>
    <cellStyle name="Input 15 3" xfId="5571" xr:uid="{00000000-0005-0000-0000-0000F90A0000}"/>
    <cellStyle name="Input 150" xfId="1764" xr:uid="{00000000-0005-0000-0000-0000FA0A0000}"/>
    <cellStyle name="Input 150 2" xfId="1765" xr:uid="{00000000-0005-0000-0000-0000FB0A0000}"/>
    <cellStyle name="Input 150 2 2" xfId="5574" xr:uid="{00000000-0005-0000-0000-0000FC0A0000}"/>
    <cellStyle name="Input 150 3" xfId="5573" xr:uid="{00000000-0005-0000-0000-0000FD0A0000}"/>
    <cellStyle name="Input 151" xfId="1766" xr:uid="{00000000-0005-0000-0000-0000FE0A0000}"/>
    <cellStyle name="Input 151 2" xfId="1767" xr:uid="{00000000-0005-0000-0000-0000FF0A0000}"/>
    <cellStyle name="Input 151 2 2" xfId="5576" xr:uid="{00000000-0005-0000-0000-0000000B0000}"/>
    <cellStyle name="Input 151 3" xfId="5575" xr:uid="{00000000-0005-0000-0000-0000010B0000}"/>
    <cellStyle name="Input 152" xfId="1768" xr:uid="{00000000-0005-0000-0000-0000020B0000}"/>
    <cellStyle name="Input 152 2" xfId="1769" xr:uid="{00000000-0005-0000-0000-0000030B0000}"/>
    <cellStyle name="Input 152 2 2" xfId="5578" xr:uid="{00000000-0005-0000-0000-0000040B0000}"/>
    <cellStyle name="Input 152 3" xfId="5577" xr:uid="{00000000-0005-0000-0000-0000050B0000}"/>
    <cellStyle name="Input 153" xfId="1770" xr:uid="{00000000-0005-0000-0000-0000060B0000}"/>
    <cellStyle name="Input 153 2" xfId="1771" xr:uid="{00000000-0005-0000-0000-0000070B0000}"/>
    <cellStyle name="Input 153 2 2" xfId="5580" xr:uid="{00000000-0005-0000-0000-0000080B0000}"/>
    <cellStyle name="Input 153 3" xfId="5579" xr:uid="{00000000-0005-0000-0000-0000090B0000}"/>
    <cellStyle name="Input 154" xfId="1772" xr:uid="{00000000-0005-0000-0000-00000A0B0000}"/>
    <cellStyle name="Input 154 2" xfId="1773" xr:uid="{00000000-0005-0000-0000-00000B0B0000}"/>
    <cellStyle name="Input 154 2 2" xfId="5582" xr:uid="{00000000-0005-0000-0000-00000C0B0000}"/>
    <cellStyle name="Input 154 3" xfId="5581" xr:uid="{00000000-0005-0000-0000-00000D0B0000}"/>
    <cellStyle name="Input 155" xfId="1774" xr:uid="{00000000-0005-0000-0000-00000E0B0000}"/>
    <cellStyle name="Input 155 2" xfId="1775" xr:uid="{00000000-0005-0000-0000-00000F0B0000}"/>
    <cellStyle name="Input 155 2 2" xfId="5584" xr:uid="{00000000-0005-0000-0000-0000100B0000}"/>
    <cellStyle name="Input 155 3" xfId="5583" xr:uid="{00000000-0005-0000-0000-0000110B0000}"/>
    <cellStyle name="Input 156" xfId="1776" xr:uid="{00000000-0005-0000-0000-0000120B0000}"/>
    <cellStyle name="Input 156 2" xfId="1777" xr:uid="{00000000-0005-0000-0000-0000130B0000}"/>
    <cellStyle name="Input 156 2 2" xfId="5586" xr:uid="{00000000-0005-0000-0000-0000140B0000}"/>
    <cellStyle name="Input 156 3" xfId="5585" xr:uid="{00000000-0005-0000-0000-0000150B0000}"/>
    <cellStyle name="Input 157" xfId="1778" xr:uid="{00000000-0005-0000-0000-0000160B0000}"/>
    <cellStyle name="Input 157 2" xfId="1779" xr:uid="{00000000-0005-0000-0000-0000170B0000}"/>
    <cellStyle name="Input 157 2 2" xfId="5588" xr:uid="{00000000-0005-0000-0000-0000180B0000}"/>
    <cellStyle name="Input 157 3" xfId="5587" xr:uid="{00000000-0005-0000-0000-0000190B0000}"/>
    <cellStyle name="Input 158" xfId="1780" xr:uid="{00000000-0005-0000-0000-00001A0B0000}"/>
    <cellStyle name="Input 158 2" xfId="1781" xr:uid="{00000000-0005-0000-0000-00001B0B0000}"/>
    <cellStyle name="Input 158 2 2" xfId="5590" xr:uid="{00000000-0005-0000-0000-00001C0B0000}"/>
    <cellStyle name="Input 158 3" xfId="5589" xr:uid="{00000000-0005-0000-0000-00001D0B0000}"/>
    <cellStyle name="Input 159" xfId="1782" xr:uid="{00000000-0005-0000-0000-00001E0B0000}"/>
    <cellStyle name="Input 159 2" xfId="1783" xr:uid="{00000000-0005-0000-0000-00001F0B0000}"/>
    <cellStyle name="Input 159 2 2" xfId="5592" xr:uid="{00000000-0005-0000-0000-0000200B0000}"/>
    <cellStyle name="Input 159 3" xfId="5591" xr:uid="{00000000-0005-0000-0000-0000210B0000}"/>
    <cellStyle name="Input 16" xfId="1784" xr:uid="{00000000-0005-0000-0000-0000220B0000}"/>
    <cellStyle name="Input 16 2" xfId="1785" xr:uid="{00000000-0005-0000-0000-0000230B0000}"/>
    <cellStyle name="Input 16 2 2" xfId="5594" xr:uid="{00000000-0005-0000-0000-0000240B0000}"/>
    <cellStyle name="Input 16 3" xfId="5593" xr:uid="{00000000-0005-0000-0000-0000250B0000}"/>
    <cellStyle name="Input 160" xfId="1786" xr:uid="{00000000-0005-0000-0000-0000260B0000}"/>
    <cellStyle name="Input 160 2" xfId="1787" xr:uid="{00000000-0005-0000-0000-0000270B0000}"/>
    <cellStyle name="Input 160 2 2" xfId="5596" xr:uid="{00000000-0005-0000-0000-0000280B0000}"/>
    <cellStyle name="Input 160 3" xfId="5595" xr:uid="{00000000-0005-0000-0000-0000290B0000}"/>
    <cellStyle name="Input 161" xfId="1788" xr:uid="{00000000-0005-0000-0000-00002A0B0000}"/>
    <cellStyle name="Input 161 2" xfId="1789" xr:uid="{00000000-0005-0000-0000-00002B0B0000}"/>
    <cellStyle name="Input 161 2 2" xfId="5598" xr:uid="{00000000-0005-0000-0000-00002C0B0000}"/>
    <cellStyle name="Input 161 3" xfId="5597" xr:uid="{00000000-0005-0000-0000-00002D0B0000}"/>
    <cellStyle name="Input 162" xfId="1790" xr:uid="{00000000-0005-0000-0000-00002E0B0000}"/>
    <cellStyle name="Input 162 2" xfId="1791" xr:uid="{00000000-0005-0000-0000-00002F0B0000}"/>
    <cellStyle name="Input 162 2 2" xfId="5600" xr:uid="{00000000-0005-0000-0000-0000300B0000}"/>
    <cellStyle name="Input 162 3" xfId="5599" xr:uid="{00000000-0005-0000-0000-0000310B0000}"/>
    <cellStyle name="Input 163" xfId="1792" xr:uid="{00000000-0005-0000-0000-0000320B0000}"/>
    <cellStyle name="Input 163 2" xfId="1793" xr:uid="{00000000-0005-0000-0000-0000330B0000}"/>
    <cellStyle name="Input 163 2 2" xfId="5602" xr:uid="{00000000-0005-0000-0000-0000340B0000}"/>
    <cellStyle name="Input 163 3" xfId="5601" xr:uid="{00000000-0005-0000-0000-0000350B0000}"/>
    <cellStyle name="Input 164" xfId="1794" xr:uid="{00000000-0005-0000-0000-0000360B0000}"/>
    <cellStyle name="Input 164 2" xfId="1795" xr:uid="{00000000-0005-0000-0000-0000370B0000}"/>
    <cellStyle name="Input 164 2 2" xfId="5604" xr:uid="{00000000-0005-0000-0000-0000380B0000}"/>
    <cellStyle name="Input 164 3" xfId="5603" xr:uid="{00000000-0005-0000-0000-0000390B0000}"/>
    <cellStyle name="Input 165" xfId="1796" xr:uid="{00000000-0005-0000-0000-00003A0B0000}"/>
    <cellStyle name="Input 165 2" xfId="1797" xr:uid="{00000000-0005-0000-0000-00003B0B0000}"/>
    <cellStyle name="Input 165 2 2" xfId="5606" xr:uid="{00000000-0005-0000-0000-00003C0B0000}"/>
    <cellStyle name="Input 165 3" xfId="5605" xr:uid="{00000000-0005-0000-0000-00003D0B0000}"/>
    <cellStyle name="Input 166" xfId="1798" xr:uid="{00000000-0005-0000-0000-00003E0B0000}"/>
    <cellStyle name="Input 166 2" xfId="1799" xr:uid="{00000000-0005-0000-0000-00003F0B0000}"/>
    <cellStyle name="Input 166 2 2" xfId="5608" xr:uid="{00000000-0005-0000-0000-0000400B0000}"/>
    <cellStyle name="Input 166 3" xfId="5607" xr:uid="{00000000-0005-0000-0000-0000410B0000}"/>
    <cellStyle name="Input 167" xfId="1800" xr:uid="{00000000-0005-0000-0000-0000420B0000}"/>
    <cellStyle name="Input 167 2" xfId="1801" xr:uid="{00000000-0005-0000-0000-0000430B0000}"/>
    <cellStyle name="Input 167 2 2" xfId="5610" xr:uid="{00000000-0005-0000-0000-0000440B0000}"/>
    <cellStyle name="Input 167 3" xfId="5609" xr:uid="{00000000-0005-0000-0000-0000450B0000}"/>
    <cellStyle name="Input 168" xfId="1802" xr:uid="{00000000-0005-0000-0000-0000460B0000}"/>
    <cellStyle name="Input 168 2" xfId="1803" xr:uid="{00000000-0005-0000-0000-0000470B0000}"/>
    <cellStyle name="Input 168 2 2" xfId="5612" xr:uid="{00000000-0005-0000-0000-0000480B0000}"/>
    <cellStyle name="Input 168 3" xfId="5611" xr:uid="{00000000-0005-0000-0000-0000490B0000}"/>
    <cellStyle name="Input 169" xfId="1804" xr:uid="{00000000-0005-0000-0000-00004A0B0000}"/>
    <cellStyle name="Input 169 2" xfId="1805" xr:uid="{00000000-0005-0000-0000-00004B0B0000}"/>
    <cellStyle name="Input 169 2 2" xfId="5614" xr:uid="{00000000-0005-0000-0000-00004C0B0000}"/>
    <cellStyle name="Input 169 3" xfId="5613" xr:uid="{00000000-0005-0000-0000-00004D0B0000}"/>
    <cellStyle name="Input 17" xfId="1806" xr:uid="{00000000-0005-0000-0000-00004E0B0000}"/>
    <cellStyle name="Input 17 2" xfId="1807" xr:uid="{00000000-0005-0000-0000-00004F0B0000}"/>
    <cellStyle name="Input 17 2 2" xfId="5616" xr:uid="{00000000-0005-0000-0000-0000500B0000}"/>
    <cellStyle name="Input 17 3" xfId="5615" xr:uid="{00000000-0005-0000-0000-0000510B0000}"/>
    <cellStyle name="Input 170" xfId="1808" xr:uid="{00000000-0005-0000-0000-0000520B0000}"/>
    <cellStyle name="Input 170 2" xfId="1809" xr:uid="{00000000-0005-0000-0000-0000530B0000}"/>
    <cellStyle name="Input 170 2 2" xfId="5618" xr:uid="{00000000-0005-0000-0000-0000540B0000}"/>
    <cellStyle name="Input 170 3" xfId="5617" xr:uid="{00000000-0005-0000-0000-0000550B0000}"/>
    <cellStyle name="Input 171" xfId="1810" xr:uid="{00000000-0005-0000-0000-0000560B0000}"/>
    <cellStyle name="Input 171 2" xfId="1811" xr:uid="{00000000-0005-0000-0000-0000570B0000}"/>
    <cellStyle name="Input 171 2 2" xfId="5620" xr:uid="{00000000-0005-0000-0000-0000580B0000}"/>
    <cellStyle name="Input 171 3" xfId="5619" xr:uid="{00000000-0005-0000-0000-0000590B0000}"/>
    <cellStyle name="Input 172" xfId="1812" xr:uid="{00000000-0005-0000-0000-00005A0B0000}"/>
    <cellStyle name="Input 172 2" xfId="1813" xr:uid="{00000000-0005-0000-0000-00005B0B0000}"/>
    <cellStyle name="Input 172 2 2" xfId="5622" xr:uid="{00000000-0005-0000-0000-00005C0B0000}"/>
    <cellStyle name="Input 172 3" xfId="5621" xr:uid="{00000000-0005-0000-0000-00005D0B0000}"/>
    <cellStyle name="Input 173" xfId="1814" xr:uid="{00000000-0005-0000-0000-00005E0B0000}"/>
    <cellStyle name="Input 173 2" xfId="5623" xr:uid="{00000000-0005-0000-0000-00005F0B0000}"/>
    <cellStyle name="Input 174" xfId="1815" xr:uid="{00000000-0005-0000-0000-0000600B0000}"/>
    <cellStyle name="Input 174 2" xfId="5624" xr:uid="{00000000-0005-0000-0000-0000610B0000}"/>
    <cellStyle name="Input 175" xfId="1816" xr:uid="{00000000-0005-0000-0000-0000620B0000}"/>
    <cellStyle name="Input 175 2" xfId="5625" xr:uid="{00000000-0005-0000-0000-0000630B0000}"/>
    <cellStyle name="Input 176" xfId="1817" xr:uid="{00000000-0005-0000-0000-0000640B0000}"/>
    <cellStyle name="Input 176 2" xfId="5626" xr:uid="{00000000-0005-0000-0000-0000650B0000}"/>
    <cellStyle name="Input 177" xfId="1818" xr:uid="{00000000-0005-0000-0000-0000660B0000}"/>
    <cellStyle name="Input 177 2" xfId="5627" xr:uid="{00000000-0005-0000-0000-0000670B0000}"/>
    <cellStyle name="Input 178" xfId="1819" xr:uid="{00000000-0005-0000-0000-0000680B0000}"/>
    <cellStyle name="Input 178 2" xfId="5628" xr:uid="{00000000-0005-0000-0000-0000690B0000}"/>
    <cellStyle name="Input 179" xfId="1820" xr:uid="{00000000-0005-0000-0000-00006A0B0000}"/>
    <cellStyle name="Input 179 2" xfId="5629" xr:uid="{00000000-0005-0000-0000-00006B0B0000}"/>
    <cellStyle name="Input 18" xfId="1821" xr:uid="{00000000-0005-0000-0000-00006C0B0000}"/>
    <cellStyle name="Input 18 2" xfId="1822" xr:uid="{00000000-0005-0000-0000-00006D0B0000}"/>
    <cellStyle name="Input 18 2 2" xfId="5631" xr:uid="{00000000-0005-0000-0000-00006E0B0000}"/>
    <cellStyle name="Input 18 3" xfId="5630" xr:uid="{00000000-0005-0000-0000-00006F0B0000}"/>
    <cellStyle name="Input 180" xfId="1823" xr:uid="{00000000-0005-0000-0000-0000700B0000}"/>
    <cellStyle name="Input 180 2" xfId="5632" xr:uid="{00000000-0005-0000-0000-0000710B0000}"/>
    <cellStyle name="Input 181" xfId="1824" xr:uid="{00000000-0005-0000-0000-0000720B0000}"/>
    <cellStyle name="Input 181 2" xfId="5633" xr:uid="{00000000-0005-0000-0000-0000730B0000}"/>
    <cellStyle name="Input 182" xfId="1825" xr:uid="{00000000-0005-0000-0000-0000740B0000}"/>
    <cellStyle name="Input 182 2" xfId="5634" xr:uid="{00000000-0005-0000-0000-0000750B0000}"/>
    <cellStyle name="Input 183" xfId="1826" xr:uid="{00000000-0005-0000-0000-0000760B0000}"/>
    <cellStyle name="Input 183 2" xfId="5635" xr:uid="{00000000-0005-0000-0000-0000770B0000}"/>
    <cellStyle name="Input 184" xfId="1827" xr:uid="{00000000-0005-0000-0000-0000780B0000}"/>
    <cellStyle name="Input 184 2" xfId="5636" xr:uid="{00000000-0005-0000-0000-0000790B0000}"/>
    <cellStyle name="Input 185" xfId="1828" xr:uid="{00000000-0005-0000-0000-00007A0B0000}"/>
    <cellStyle name="Input 185 2" xfId="5637" xr:uid="{00000000-0005-0000-0000-00007B0B0000}"/>
    <cellStyle name="Input 186" xfId="1829" xr:uid="{00000000-0005-0000-0000-00007C0B0000}"/>
    <cellStyle name="Input 186 2" xfId="5638" xr:uid="{00000000-0005-0000-0000-00007D0B0000}"/>
    <cellStyle name="Input 187" xfId="1830" xr:uid="{00000000-0005-0000-0000-00007E0B0000}"/>
    <cellStyle name="Input 187 2" xfId="5639" xr:uid="{00000000-0005-0000-0000-00007F0B0000}"/>
    <cellStyle name="Input 188" xfId="1831" xr:uid="{00000000-0005-0000-0000-0000800B0000}"/>
    <cellStyle name="Input 188 2" xfId="5640" xr:uid="{00000000-0005-0000-0000-0000810B0000}"/>
    <cellStyle name="Input 189" xfId="1832" xr:uid="{00000000-0005-0000-0000-0000820B0000}"/>
    <cellStyle name="Input 189 2" xfId="5641" xr:uid="{00000000-0005-0000-0000-0000830B0000}"/>
    <cellStyle name="Input 19" xfId="1833" xr:uid="{00000000-0005-0000-0000-0000840B0000}"/>
    <cellStyle name="Input 19 2" xfId="1834" xr:uid="{00000000-0005-0000-0000-0000850B0000}"/>
    <cellStyle name="Input 19 2 2" xfId="5643" xr:uid="{00000000-0005-0000-0000-0000860B0000}"/>
    <cellStyle name="Input 19 3" xfId="5642" xr:uid="{00000000-0005-0000-0000-0000870B0000}"/>
    <cellStyle name="Input 190" xfId="1835" xr:uid="{00000000-0005-0000-0000-0000880B0000}"/>
    <cellStyle name="Input 190 2" xfId="5644" xr:uid="{00000000-0005-0000-0000-0000890B0000}"/>
    <cellStyle name="Input 191" xfId="1836" xr:uid="{00000000-0005-0000-0000-00008A0B0000}"/>
    <cellStyle name="Input 191 2" xfId="5645" xr:uid="{00000000-0005-0000-0000-00008B0B0000}"/>
    <cellStyle name="Input 192" xfId="1837" xr:uid="{00000000-0005-0000-0000-00008C0B0000}"/>
    <cellStyle name="Input 192 2" xfId="5646" xr:uid="{00000000-0005-0000-0000-00008D0B0000}"/>
    <cellStyle name="Input 193" xfId="1838" xr:uid="{00000000-0005-0000-0000-00008E0B0000}"/>
    <cellStyle name="Input 193 2" xfId="5647" xr:uid="{00000000-0005-0000-0000-00008F0B0000}"/>
    <cellStyle name="Input 194" xfId="1839" xr:uid="{00000000-0005-0000-0000-0000900B0000}"/>
    <cellStyle name="Input 194 2" xfId="5648" xr:uid="{00000000-0005-0000-0000-0000910B0000}"/>
    <cellStyle name="Input 195" xfId="1840" xr:uid="{00000000-0005-0000-0000-0000920B0000}"/>
    <cellStyle name="Input 195 2" xfId="5649" xr:uid="{00000000-0005-0000-0000-0000930B0000}"/>
    <cellStyle name="Input 196" xfId="1841" xr:uid="{00000000-0005-0000-0000-0000940B0000}"/>
    <cellStyle name="Input 196 2" xfId="5650" xr:uid="{00000000-0005-0000-0000-0000950B0000}"/>
    <cellStyle name="Input 197" xfId="1842" xr:uid="{00000000-0005-0000-0000-0000960B0000}"/>
    <cellStyle name="Input 197 2" xfId="5651" xr:uid="{00000000-0005-0000-0000-0000970B0000}"/>
    <cellStyle name="Input 198" xfId="1843" xr:uid="{00000000-0005-0000-0000-0000980B0000}"/>
    <cellStyle name="Input 198 2" xfId="5652" xr:uid="{00000000-0005-0000-0000-0000990B0000}"/>
    <cellStyle name="Input 199" xfId="1844" xr:uid="{00000000-0005-0000-0000-00009A0B0000}"/>
    <cellStyle name="Input 199 2" xfId="5653" xr:uid="{00000000-0005-0000-0000-00009B0B0000}"/>
    <cellStyle name="Input 2" xfId="269" xr:uid="{00000000-0005-0000-0000-00009C0B0000}"/>
    <cellStyle name="Input 2 2" xfId="581" xr:uid="{00000000-0005-0000-0000-00009D0B0000}"/>
    <cellStyle name="Input 2 2 2" xfId="1846" xr:uid="{00000000-0005-0000-0000-00009E0B0000}"/>
    <cellStyle name="Input 2 2 3" xfId="1847" xr:uid="{00000000-0005-0000-0000-00009F0B0000}"/>
    <cellStyle name="Input 2 2 4" xfId="1848" xr:uid="{00000000-0005-0000-0000-0000A00B0000}"/>
    <cellStyle name="Input 2 2 5" xfId="1845" xr:uid="{00000000-0005-0000-0000-0000A10B0000}"/>
    <cellStyle name="Input 2 2 6" xfId="5654" xr:uid="{00000000-0005-0000-0000-0000A20B0000}"/>
    <cellStyle name="Input 2 3" xfId="5655" xr:uid="{00000000-0005-0000-0000-0000A30B0000}"/>
    <cellStyle name="Input 2 3 2" xfId="6486" xr:uid="{00000000-0005-0000-0000-0000A40B0000}"/>
    <cellStyle name="Input 20" xfId="1849" xr:uid="{00000000-0005-0000-0000-0000A50B0000}"/>
    <cellStyle name="Input 20 2" xfId="1850" xr:uid="{00000000-0005-0000-0000-0000A60B0000}"/>
    <cellStyle name="Input 20 2 2" xfId="5657" xr:uid="{00000000-0005-0000-0000-0000A70B0000}"/>
    <cellStyle name="Input 20 3" xfId="5656" xr:uid="{00000000-0005-0000-0000-0000A80B0000}"/>
    <cellStyle name="Input 200" xfId="1851" xr:uid="{00000000-0005-0000-0000-0000A90B0000}"/>
    <cellStyle name="Input 200 2" xfId="5658" xr:uid="{00000000-0005-0000-0000-0000AA0B0000}"/>
    <cellStyle name="Input 201" xfId="1852" xr:uid="{00000000-0005-0000-0000-0000AB0B0000}"/>
    <cellStyle name="Input 201 2" xfId="5659" xr:uid="{00000000-0005-0000-0000-0000AC0B0000}"/>
    <cellStyle name="Input 202" xfId="1853" xr:uid="{00000000-0005-0000-0000-0000AD0B0000}"/>
    <cellStyle name="Input 202 2" xfId="5660" xr:uid="{00000000-0005-0000-0000-0000AE0B0000}"/>
    <cellStyle name="Input 203" xfId="1854" xr:uid="{00000000-0005-0000-0000-0000AF0B0000}"/>
    <cellStyle name="Input 203 2" xfId="5661" xr:uid="{00000000-0005-0000-0000-0000B00B0000}"/>
    <cellStyle name="Input 204" xfId="1855" xr:uid="{00000000-0005-0000-0000-0000B10B0000}"/>
    <cellStyle name="Input 204 2" xfId="5662" xr:uid="{00000000-0005-0000-0000-0000B20B0000}"/>
    <cellStyle name="Input 205" xfId="1856" xr:uid="{00000000-0005-0000-0000-0000B30B0000}"/>
    <cellStyle name="Input 205 2" xfId="5663" xr:uid="{00000000-0005-0000-0000-0000B40B0000}"/>
    <cellStyle name="Input 206" xfId="1857" xr:uid="{00000000-0005-0000-0000-0000B50B0000}"/>
    <cellStyle name="Input 206 2" xfId="5664" xr:uid="{00000000-0005-0000-0000-0000B60B0000}"/>
    <cellStyle name="Input 207" xfId="1858" xr:uid="{00000000-0005-0000-0000-0000B70B0000}"/>
    <cellStyle name="Input 207 2" xfId="5665" xr:uid="{00000000-0005-0000-0000-0000B80B0000}"/>
    <cellStyle name="Input 208" xfId="1859" xr:uid="{00000000-0005-0000-0000-0000B90B0000}"/>
    <cellStyle name="Input 208 2" xfId="5666" xr:uid="{00000000-0005-0000-0000-0000BA0B0000}"/>
    <cellStyle name="Input 209" xfId="1860" xr:uid="{00000000-0005-0000-0000-0000BB0B0000}"/>
    <cellStyle name="Input 209 2" xfId="5667" xr:uid="{00000000-0005-0000-0000-0000BC0B0000}"/>
    <cellStyle name="Input 21" xfId="1861" xr:uid="{00000000-0005-0000-0000-0000BD0B0000}"/>
    <cellStyle name="Input 21 2" xfId="1862" xr:uid="{00000000-0005-0000-0000-0000BE0B0000}"/>
    <cellStyle name="Input 21 2 2" xfId="5669" xr:uid="{00000000-0005-0000-0000-0000BF0B0000}"/>
    <cellStyle name="Input 21 3" xfId="5668" xr:uid="{00000000-0005-0000-0000-0000C00B0000}"/>
    <cellStyle name="Input 210" xfId="1863" xr:uid="{00000000-0005-0000-0000-0000C10B0000}"/>
    <cellStyle name="Input 210 2" xfId="5670" xr:uid="{00000000-0005-0000-0000-0000C20B0000}"/>
    <cellStyle name="Input 211" xfId="1864" xr:uid="{00000000-0005-0000-0000-0000C30B0000}"/>
    <cellStyle name="Input 211 2" xfId="5671" xr:uid="{00000000-0005-0000-0000-0000C40B0000}"/>
    <cellStyle name="Input 212" xfId="1865" xr:uid="{00000000-0005-0000-0000-0000C50B0000}"/>
    <cellStyle name="Input 212 2" xfId="5672" xr:uid="{00000000-0005-0000-0000-0000C60B0000}"/>
    <cellStyle name="Input 213" xfId="1866" xr:uid="{00000000-0005-0000-0000-0000C70B0000}"/>
    <cellStyle name="Input 213 2" xfId="5673" xr:uid="{00000000-0005-0000-0000-0000C80B0000}"/>
    <cellStyle name="Input 214" xfId="1867" xr:uid="{00000000-0005-0000-0000-0000C90B0000}"/>
    <cellStyle name="Input 214 2" xfId="5674" xr:uid="{00000000-0005-0000-0000-0000CA0B0000}"/>
    <cellStyle name="Input 215" xfId="1868" xr:uid="{00000000-0005-0000-0000-0000CB0B0000}"/>
    <cellStyle name="Input 215 2" xfId="5675" xr:uid="{00000000-0005-0000-0000-0000CC0B0000}"/>
    <cellStyle name="Input 216" xfId="1869" xr:uid="{00000000-0005-0000-0000-0000CD0B0000}"/>
    <cellStyle name="Input 216 2" xfId="5676" xr:uid="{00000000-0005-0000-0000-0000CE0B0000}"/>
    <cellStyle name="Input 217" xfId="1870" xr:uid="{00000000-0005-0000-0000-0000CF0B0000}"/>
    <cellStyle name="Input 217 2" xfId="5459" xr:uid="{00000000-0005-0000-0000-0000D00B0000}"/>
    <cellStyle name="Input 218" xfId="1871" xr:uid="{00000000-0005-0000-0000-0000D10B0000}"/>
    <cellStyle name="Input 219" xfId="1872" xr:uid="{00000000-0005-0000-0000-0000D20B0000}"/>
    <cellStyle name="Input 22" xfId="1873" xr:uid="{00000000-0005-0000-0000-0000D30B0000}"/>
    <cellStyle name="Input 22 2" xfId="1874" xr:uid="{00000000-0005-0000-0000-0000D40B0000}"/>
    <cellStyle name="Input 22 2 2" xfId="5678" xr:uid="{00000000-0005-0000-0000-0000D50B0000}"/>
    <cellStyle name="Input 22 3" xfId="5677" xr:uid="{00000000-0005-0000-0000-0000D60B0000}"/>
    <cellStyle name="Input 220" xfId="1875" xr:uid="{00000000-0005-0000-0000-0000D70B0000}"/>
    <cellStyle name="Input 221" xfId="1876" xr:uid="{00000000-0005-0000-0000-0000D80B0000}"/>
    <cellStyle name="Input 222" xfId="1877" xr:uid="{00000000-0005-0000-0000-0000D90B0000}"/>
    <cellStyle name="Input 223" xfId="1878" xr:uid="{00000000-0005-0000-0000-0000DA0B0000}"/>
    <cellStyle name="Input 224" xfId="1879" xr:uid="{00000000-0005-0000-0000-0000DB0B0000}"/>
    <cellStyle name="Input 225" xfId="1880" xr:uid="{00000000-0005-0000-0000-0000DC0B0000}"/>
    <cellStyle name="Input 226" xfId="1881" xr:uid="{00000000-0005-0000-0000-0000DD0B0000}"/>
    <cellStyle name="Input 227" xfId="1882" xr:uid="{00000000-0005-0000-0000-0000DE0B0000}"/>
    <cellStyle name="Input 228" xfId="1883" xr:uid="{00000000-0005-0000-0000-0000DF0B0000}"/>
    <cellStyle name="Input 229" xfId="1884" xr:uid="{00000000-0005-0000-0000-0000E00B0000}"/>
    <cellStyle name="Input 23" xfId="1885" xr:uid="{00000000-0005-0000-0000-0000E10B0000}"/>
    <cellStyle name="Input 23 2" xfId="1886" xr:uid="{00000000-0005-0000-0000-0000E20B0000}"/>
    <cellStyle name="Input 23 2 2" xfId="5680" xr:uid="{00000000-0005-0000-0000-0000E30B0000}"/>
    <cellStyle name="Input 23 3" xfId="5679" xr:uid="{00000000-0005-0000-0000-0000E40B0000}"/>
    <cellStyle name="Input 230" xfId="1887" xr:uid="{00000000-0005-0000-0000-0000E50B0000}"/>
    <cellStyle name="Input 231" xfId="1888" xr:uid="{00000000-0005-0000-0000-0000E60B0000}"/>
    <cellStyle name="Input 232" xfId="1889" xr:uid="{00000000-0005-0000-0000-0000E70B0000}"/>
    <cellStyle name="Input 233" xfId="1890" xr:uid="{00000000-0005-0000-0000-0000E80B0000}"/>
    <cellStyle name="Input 234" xfId="1891" xr:uid="{00000000-0005-0000-0000-0000E90B0000}"/>
    <cellStyle name="Input 235" xfId="1892" xr:uid="{00000000-0005-0000-0000-0000EA0B0000}"/>
    <cellStyle name="Input 236" xfId="1893" xr:uid="{00000000-0005-0000-0000-0000EB0B0000}"/>
    <cellStyle name="Input 237" xfId="1894" xr:uid="{00000000-0005-0000-0000-0000EC0B0000}"/>
    <cellStyle name="Input 238" xfId="1895" xr:uid="{00000000-0005-0000-0000-0000ED0B0000}"/>
    <cellStyle name="Input 239" xfId="1896" xr:uid="{00000000-0005-0000-0000-0000EE0B0000}"/>
    <cellStyle name="Input 24" xfId="1897" xr:uid="{00000000-0005-0000-0000-0000EF0B0000}"/>
    <cellStyle name="Input 24 2" xfId="1898" xr:uid="{00000000-0005-0000-0000-0000F00B0000}"/>
    <cellStyle name="Input 24 2 2" xfId="5682" xr:uid="{00000000-0005-0000-0000-0000F10B0000}"/>
    <cellStyle name="Input 24 3" xfId="5681" xr:uid="{00000000-0005-0000-0000-0000F20B0000}"/>
    <cellStyle name="Input 240" xfId="1899" xr:uid="{00000000-0005-0000-0000-0000F30B0000}"/>
    <cellStyle name="Input 241" xfId="1900" xr:uid="{00000000-0005-0000-0000-0000F40B0000}"/>
    <cellStyle name="Input 242" xfId="1901" xr:uid="{00000000-0005-0000-0000-0000F50B0000}"/>
    <cellStyle name="Input 243" xfId="1902" xr:uid="{00000000-0005-0000-0000-0000F60B0000}"/>
    <cellStyle name="Input 244" xfId="1903" xr:uid="{00000000-0005-0000-0000-0000F70B0000}"/>
    <cellStyle name="Input 245" xfId="1904" xr:uid="{00000000-0005-0000-0000-0000F80B0000}"/>
    <cellStyle name="Input 246" xfId="1905" xr:uid="{00000000-0005-0000-0000-0000F90B0000}"/>
    <cellStyle name="Input 247" xfId="1906" xr:uid="{00000000-0005-0000-0000-0000FA0B0000}"/>
    <cellStyle name="Input 248" xfId="1907" xr:uid="{00000000-0005-0000-0000-0000FB0B0000}"/>
    <cellStyle name="Input 249" xfId="1908" xr:uid="{00000000-0005-0000-0000-0000FC0B0000}"/>
    <cellStyle name="Input 25" xfId="1909" xr:uid="{00000000-0005-0000-0000-0000FD0B0000}"/>
    <cellStyle name="Input 25 2" xfId="1910" xr:uid="{00000000-0005-0000-0000-0000FE0B0000}"/>
    <cellStyle name="Input 25 2 2" xfId="5684" xr:uid="{00000000-0005-0000-0000-0000FF0B0000}"/>
    <cellStyle name="Input 25 3" xfId="5683" xr:uid="{00000000-0005-0000-0000-0000000C0000}"/>
    <cellStyle name="Input 250" xfId="1911" xr:uid="{00000000-0005-0000-0000-0000010C0000}"/>
    <cellStyle name="Input 251" xfId="1912" xr:uid="{00000000-0005-0000-0000-0000020C0000}"/>
    <cellStyle name="Input 252" xfId="1913" xr:uid="{00000000-0005-0000-0000-0000030C0000}"/>
    <cellStyle name="Input 253" xfId="1914" xr:uid="{00000000-0005-0000-0000-0000040C0000}"/>
    <cellStyle name="Input 254" xfId="1915" xr:uid="{00000000-0005-0000-0000-0000050C0000}"/>
    <cellStyle name="Input 255" xfId="1916" xr:uid="{00000000-0005-0000-0000-0000060C0000}"/>
    <cellStyle name="Input 256" xfId="1917" xr:uid="{00000000-0005-0000-0000-0000070C0000}"/>
    <cellStyle name="Input 257" xfId="1918" xr:uid="{00000000-0005-0000-0000-0000080C0000}"/>
    <cellStyle name="Input 258" xfId="1919" xr:uid="{00000000-0005-0000-0000-0000090C0000}"/>
    <cellStyle name="Input 259" xfId="1920" xr:uid="{00000000-0005-0000-0000-00000A0C0000}"/>
    <cellStyle name="Input 26" xfId="1921" xr:uid="{00000000-0005-0000-0000-00000B0C0000}"/>
    <cellStyle name="Input 26 2" xfId="1922" xr:uid="{00000000-0005-0000-0000-00000C0C0000}"/>
    <cellStyle name="Input 26 2 2" xfId="5686" xr:uid="{00000000-0005-0000-0000-00000D0C0000}"/>
    <cellStyle name="Input 26 3" xfId="5685" xr:uid="{00000000-0005-0000-0000-00000E0C0000}"/>
    <cellStyle name="Input 260" xfId="1923" xr:uid="{00000000-0005-0000-0000-00000F0C0000}"/>
    <cellStyle name="Input 261" xfId="1924" xr:uid="{00000000-0005-0000-0000-0000100C0000}"/>
    <cellStyle name="Input 262" xfId="1925" xr:uid="{00000000-0005-0000-0000-0000110C0000}"/>
    <cellStyle name="Input 263" xfId="1926" xr:uid="{00000000-0005-0000-0000-0000120C0000}"/>
    <cellStyle name="Input 264" xfId="1927" xr:uid="{00000000-0005-0000-0000-0000130C0000}"/>
    <cellStyle name="Input 265" xfId="1928" xr:uid="{00000000-0005-0000-0000-0000140C0000}"/>
    <cellStyle name="Input 266" xfId="1929" xr:uid="{00000000-0005-0000-0000-0000150C0000}"/>
    <cellStyle name="Input 267" xfId="1930" xr:uid="{00000000-0005-0000-0000-0000160C0000}"/>
    <cellStyle name="Input 268" xfId="1931" xr:uid="{00000000-0005-0000-0000-0000170C0000}"/>
    <cellStyle name="Input 269" xfId="1932" xr:uid="{00000000-0005-0000-0000-0000180C0000}"/>
    <cellStyle name="Input 27" xfId="1933" xr:uid="{00000000-0005-0000-0000-0000190C0000}"/>
    <cellStyle name="Input 27 2" xfId="1934" xr:uid="{00000000-0005-0000-0000-00001A0C0000}"/>
    <cellStyle name="Input 27 2 2" xfId="5688" xr:uid="{00000000-0005-0000-0000-00001B0C0000}"/>
    <cellStyle name="Input 27 3" xfId="5687" xr:uid="{00000000-0005-0000-0000-00001C0C0000}"/>
    <cellStyle name="Input 270" xfId="1935" xr:uid="{00000000-0005-0000-0000-00001D0C0000}"/>
    <cellStyle name="Input 271" xfId="1936" xr:uid="{00000000-0005-0000-0000-00001E0C0000}"/>
    <cellStyle name="Input 272" xfId="1937" xr:uid="{00000000-0005-0000-0000-00001F0C0000}"/>
    <cellStyle name="Input 273" xfId="1938" xr:uid="{00000000-0005-0000-0000-0000200C0000}"/>
    <cellStyle name="Input 274" xfId="1939" xr:uid="{00000000-0005-0000-0000-0000210C0000}"/>
    <cellStyle name="Input 275" xfId="1940" xr:uid="{00000000-0005-0000-0000-0000220C0000}"/>
    <cellStyle name="Input 276" xfId="1941" xr:uid="{00000000-0005-0000-0000-0000230C0000}"/>
    <cellStyle name="Input 277" xfId="1942" xr:uid="{00000000-0005-0000-0000-0000240C0000}"/>
    <cellStyle name="Input 278" xfId="1943" xr:uid="{00000000-0005-0000-0000-0000250C0000}"/>
    <cellStyle name="Input 279" xfId="1944" xr:uid="{00000000-0005-0000-0000-0000260C0000}"/>
    <cellStyle name="Input 28" xfId="1945" xr:uid="{00000000-0005-0000-0000-0000270C0000}"/>
    <cellStyle name="Input 28 2" xfId="1946" xr:uid="{00000000-0005-0000-0000-0000280C0000}"/>
    <cellStyle name="Input 28 2 2" xfId="5690" xr:uid="{00000000-0005-0000-0000-0000290C0000}"/>
    <cellStyle name="Input 28 3" xfId="5689" xr:uid="{00000000-0005-0000-0000-00002A0C0000}"/>
    <cellStyle name="Input 280" xfId="1947" xr:uid="{00000000-0005-0000-0000-00002B0C0000}"/>
    <cellStyle name="Input 281" xfId="1948" xr:uid="{00000000-0005-0000-0000-00002C0C0000}"/>
    <cellStyle name="Input 29" xfId="1949" xr:uid="{00000000-0005-0000-0000-00002D0C0000}"/>
    <cellStyle name="Input 29 2" xfId="1950" xr:uid="{00000000-0005-0000-0000-00002E0C0000}"/>
    <cellStyle name="Input 29 2 2" xfId="5692" xr:uid="{00000000-0005-0000-0000-00002F0C0000}"/>
    <cellStyle name="Input 29 3" xfId="5691" xr:uid="{00000000-0005-0000-0000-0000300C0000}"/>
    <cellStyle name="Input 3" xfId="270" xr:uid="{00000000-0005-0000-0000-0000310C0000}"/>
    <cellStyle name="Input 3 2" xfId="1951" xr:uid="{00000000-0005-0000-0000-0000320C0000}"/>
    <cellStyle name="Input 3 2 2" xfId="5693" xr:uid="{00000000-0005-0000-0000-0000330C0000}"/>
    <cellStyle name="Input 3 2 2 2" xfId="6469" xr:uid="{00000000-0005-0000-0000-0000340C0000}"/>
    <cellStyle name="Input 3 2 3" xfId="6441" xr:uid="{00000000-0005-0000-0000-0000350C0000}"/>
    <cellStyle name="Input 3 3" xfId="5694" xr:uid="{00000000-0005-0000-0000-0000360C0000}"/>
    <cellStyle name="Input 3 3 2" xfId="6464" xr:uid="{00000000-0005-0000-0000-0000370C0000}"/>
    <cellStyle name="Input 30" xfId="1952" xr:uid="{00000000-0005-0000-0000-0000380C0000}"/>
    <cellStyle name="Input 30 2" xfId="1953" xr:uid="{00000000-0005-0000-0000-0000390C0000}"/>
    <cellStyle name="Input 30 2 2" xfId="5696" xr:uid="{00000000-0005-0000-0000-00003A0C0000}"/>
    <cellStyle name="Input 30 3" xfId="5695" xr:uid="{00000000-0005-0000-0000-00003B0C0000}"/>
    <cellStyle name="Input 31" xfId="1954" xr:uid="{00000000-0005-0000-0000-00003C0C0000}"/>
    <cellStyle name="Input 31 2" xfId="1955" xr:uid="{00000000-0005-0000-0000-00003D0C0000}"/>
    <cellStyle name="Input 31 2 2" xfId="5698" xr:uid="{00000000-0005-0000-0000-00003E0C0000}"/>
    <cellStyle name="Input 31 3" xfId="5697" xr:uid="{00000000-0005-0000-0000-00003F0C0000}"/>
    <cellStyle name="Input 32" xfId="1956" xr:uid="{00000000-0005-0000-0000-0000400C0000}"/>
    <cellStyle name="Input 32 2" xfId="1957" xr:uid="{00000000-0005-0000-0000-0000410C0000}"/>
    <cellStyle name="Input 32 2 2" xfId="5700" xr:uid="{00000000-0005-0000-0000-0000420C0000}"/>
    <cellStyle name="Input 32 3" xfId="5699" xr:uid="{00000000-0005-0000-0000-0000430C0000}"/>
    <cellStyle name="Input 33" xfId="1958" xr:uid="{00000000-0005-0000-0000-0000440C0000}"/>
    <cellStyle name="Input 33 2" xfId="1959" xr:uid="{00000000-0005-0000-0000-0000450C0000}"/>
    <cellStyle name="Input 33 2 2" xfId="5702" xr:uid="{00000000-0005-0000-0000-0000460C0000}"/>
    <cellStyle name="Input 33 3" xfId="5701" xr:uid="{00000000-0005-0000-0000-0000470C0000}"/>
    <cellStyle name="Input 34" xfId="1960" xr:uid="{00000000-0005-0000-0000-0000480C0000}"/>
    <cellStyle name="Input 34 2" xfId="1961" xr:uid="{00000000-0005-0000-0000-0000490C0000}"/>
    <cellStyle name="Input 34 2 2" xfId="5704" xr:uid="{00000000-0005-0000-0000-00004A0C0000}"/>
    <cellStyle name="Input 34 3" xfId="5703" xr:uid="{00000000-0005-0000-0000-00004B0C0000}"/>
    <cellStyle name="Input 35" xfId="1962" xr:uid="{00000000-0005-0000-0000-00004C0C0000}"/>
    <cellStyle name="Input 35 2" xfId="1963" xr:uid="{00000000-0005-0000-0000-00004D0C0000}"/>
    <cellStyle name="Input 35 2 2" xfId="5706" xr:uid="{00000000-0005-0000-0000-00004E0C0000}"/>
    <cellStyle name="Input 35 3" xfId="5705" xr:uid="{00000000-0005-0000-0000-00004F0C0000}"/>
    <cellStyle name="Input 36" xfId="1964" xr:uid="{00000000-0005-0000-0000-0000500C0000}"/>
    <cellStyle name="Input 36 2" xfId="1965" xr:uid="{00000000-0005-0000-0000-0000510C0000}"/>
    <cellStyle name="Input 36 2 2" xfId="5708" xr:uid="{00000000-0005-0000-0000-0000520C0000}"/>
    <cellStyle name="Input 36 3" xfId="5707" xr:uid="{00000000-0005-0000-0000-0000530C0000}"/>
    <cellStyle name="Input 37" xfId="1966" xr:uid="{00000000-0005-0000-0000-0000540C0000}"/>
    <cellStyle name="Input 37 2" xfId="1967" xr:uid="{00000000-0005-0000-0000-0000550C0000}"/>
    <cellStyle name="Input 37 2 2" xfId="5710" xr:uid="{00000000-0005-0000-0000-0000560C0000}"/>
    <cellStyle name="Input 37 3" xfId="5709" xr:uid="{00000000-0005-0000-0000-0000570C0000}"/>
    <cellStyle name="Input 38" xfId="1968" xr:uid="{00000000-0005-0000-0000-0000580C0000}"/>
    <cellStyle name="Input 38 2" xfId="1969" xr:uid="{00000000-0005-0000-0000-0000590C0000}"/>
    <cellStyle name="Input 38 2 2" xfId="5712" xr:uid="{00000000-0005-0000-0000-00005A0C0000}"/>
    <cellStyle name="Input 38 3" xfId="5711" xr:uid="{00000000-0005-0000-0000-00005B0C0000}"/>
    <cellStyle name="Input 39" xfId="1970" xr:uid="{00000000-0005-0000-0000-00005C0C0000}"/>
    <cellStyle name="Input 39 2" xfId="1971" xr:uid="{00000000-0005-0000-0000-00005D0C0000}"/>
    <cellStyle name="Input 39 2 2" xfId="5714" xr:uid="{00000000-0005-0000-0000-00005E0C0000}"/>
    <cellStyle name="Input 39 3" xfId="5713" xr:uid="{00000000-0005-0000-0000-00005F0C0000}"/>
    <cellStyle name="Input 4" xfId="582" xr:uid="{00000000-0005-0000-0000-0000600C0000}"/>
    <cellStyle name="Input 4 2" xfId="1972" xr:uid="{00000000-0005-0000-0000-0000610C0000}"/>
    <cellStyle name="Input 4 2 2" xfId="1973" xr:uid="{00000000-0005-0000-0000-0000620C0000}"/>
    <cellStyle name="Input 4 2 2 2" xfId="1974" xr:uid="{00000000-0005-0000-0000-0000630C0000}"/>
    <cellStyle name="Input 4 2 3" xfId="1975" xr:uid="{00000000-0005-0000-0000-0000640C0000}"/>
    <cellStyle name="Input 4 2 4" xfId="5715" xr:uid="{00000000-0005-0000-0000-0000650C0000}"/>
    <cellStyle name="Input 4 3" xfId="1976" xr:uid="{00000000-0005-0000-0000-0000660C0000}"/>
    <cellStyle name="Input 4 3 2" xfId="5716" xr:uid="{00000000-0005-0000-0000-0000670C0000}"/>
    <cellStyle name="Input 40" xfId="1977" xr:uid="{00000000-0005-0000-0000-0000680C0000}"/>
    <cellStyle name="Input 40 2" xfId="1978" xr:uid="{00000000-0005-0000-0000-0000690C0000}"/>
    <cellStyle name="Input 40 2 2" xfId="5718" xr:uid="{00000000-0005-0000-0000-00006A0C0000}"/>
    <cellStyle name="Input 40 3" xfId="5717" xr:uid="{00000000-0005-0000-0000-00006B0C0000}"/>
    <cellStyle name="Input 41" xfId="1979" xr:uid="{00000000-0005-0000-0000-00006C0C0000}"/>
    <cellStyle name="Input 41 2" xfId="1980" xr:uid="{00000000-0005-0000-0000-00006D0C0000}"/>
    <cellStyle name="Input 41 2 2" xfId="5720" xr:uid="{00000000-0005-0000-0000-00006E0C0000}"/>
    <cellStyle name="Input 41 3" xfId="5719" xr:uid="{00000000-0005-0000-0000-00006F0C0000}"/>
    <cellStyle name="Input 42" xfId="1981" xr:uid="{00000000-0005-0000-0000-0000700C0000}"/>
    <cellStyle name="Input 42 2" xfId="1982" xr:uid="{00000000-0005-0000-0000-0000710C0000}"/>
    <cellStyle name="Input 42 2 2" xfId="5722" xr:uid="{00000000-0005-0000-0000-0000720C0000}"/>
    <cellStyle name="Input 42 3" xfId="5721" xr:uid="{00000000-0005-0000-0000-0000730C0000}"/>
    <cellStyle name="Input 43" xfId="1983" xr:uid="{00000000-0005-0000-0000-0000740C0000}"/>
    <cellStyle name="Input 43 2" xfId="1984" xr:uid="{00000000-0005-0000-0000-0000750C0000}"/>
    <cellStyle name="Input 43 2 2" xfId="5724" xr:uid="{00000000-0005-0000-0000-0000760C0000}"/>
    <cellStyle name="Input 43 3" xfId="5723" xr:uid="{00000000-0005-0000-0000-0000770C0000}"/>
    <cellStyle name="Input 44" xfId="1985" xr:uid="{00000000-0005-0000-0000-0000780C0000}"/>
    <cellStyle name="Input 44 2" xfId="1986" xr:uid="{00000000-0005-0000-0000-0000790C0000}"/>
    <cellStyle name="Input 44 2 2" xfId="5726" xr:uid="{00000000-0005-0000-0000-00007A0C0000}"/>
    <cellStyle name="Input 44 3" xfId="5725" xr:uid="{00000000-0005-0000-0000-00007B0C0000}"/>
    <cellStyle name="Input 45" xfId="1987" xr:uid="{00000000-0005-0000-0000-00007C0C0000}"/>
    <cellStyle name="Input 45 2" xfId="1988" xr:uid="{00000000-0005-0000-0000-00007D0C0000}"/>
    <cellStyle name="Input 45 2 2" xfId="5728" xr:uid="{00000000-0005-0000-0000-00007E0C0000}"/>
    <cellStyle name="Input 45 3" xfId="5727" xr:uid="{00000000-0005-0000-0000-00007F0C0000}"/>
    <cellStyle name="Input 46" xfId="1989" xr:uid="{00000000-0005-0000-0000-0000800C0000}"/>
    <cellStyle name="Input 46 2" xfId="1990" xr:uid="{00000000-0005-0000-0000-0000810C0000}"/>
    <cellStyle name="Input 46 2 2" xfId="5730" xr:uid="{00000000-0005-0000-0000-0000820C0000}"/>
    <cellStyle name="Input 46 3" xfId="5729" xr:uid="{00000000-0005-0000-0000-0000830C0000}"/>
    <cellStyle name="Input 47" xfId="1991" xr:uid="{00000000-0005-0000-0000-0000840C0000}"/>
    <cellStyle name="Input 47 2" xfId="1992" xr:uid="{00000000-0005-0000-0000-0000850C0000}"/>
    <cellStyle name="Input 47 2 2" xfId="5732" xr:uid="{00000000-0005-0000-0000-0000860C0000}"/>
    <cellStyle name="Input 47 3" xfId="5731" xr:uid="{00000000-0005-0000-0000-0000870C0000}"/>
    <cellStyle name="Input 48" xfId="1993" xr:uid="{00000000-0005-0000-0000-0000880C0000}"/>
    <cellStyle name="Input 48 2" xfId="1994" xr:uid="{00000000-0005-0000-0000-0000890C0000}"/>
    <cellStyle name="Input 48 2 2" xfId="5734" xr:uid="{00000000-0005-0000-0000-00008A0C0000}"/>
    <cellStyle name="Input 48 3" xfId="5733" xr:uid="{00000000-0005-0000-0000-00008B0C0000}"/>
    <cellStyle name="Input 49" xfId="1995" xr:uid="{00000000-0005-0000-0000-00008C0C0000}"/>
    <cellStyle name="Input 49 2" xfId="1996" xr:uid="{00000000-0005-0000-0000-00008D0C0000}"/>
    <cellStyle name="Input 49 2 2" xfId="5736" xr:uid="{00000000-0005-0000-0000-00008E0C0000}"/>
    <cellStyle name="Input 49 3" xfId="5735" xr:uid="{00000000-0005-0000-0000-00008F0C0000}"/>
    <cellStyle name="Input 5" xfId="583" xr:uid="{00000000-0005-0000-0000-0000900C0000}"/>
    <cellStyle name="Input 5 2" xfId="1997" xr:uid="{00000000-0005-0000-0000-0000910C0000}"/>
    <cellStyle name="Input 5 2 2" xfId="5738" xr:uid="{00000000-0005-0000-0000-0000920C0000}"/>
    <cellStyle name="Input 5 3" xfId="5737" xr:uid="{00000000-0005-0000-0000-0000930C0000}"/>
    <cellStyle name="Input 50" xfId="1998" xr:uid="{00000000-0005-0000-0000-0000940C0000}"/>
    <cellStyle name="Input 50 2" xfId="1999" xr:uid="{00000000-0005-0000-0000-0000950C0000}"/>
    <cellStyle name="Input 50 2 2" xfId="5740" xr:uid="{00000000-0005-0000-0000-0000960C0000}"/>
    <cellStyle name="Input 50 3" xfId="5739" xr:uid="{00000000-0005-0000-0000-0000970C0000}"/>
    <cellStyle name="Input 51" xfId="2000" xr:uid="{00000000-0005-0000-0000-0000980C0000}"/>
    <cellStyle name="Input 51 2" xfId="2001" xr:uid="{00000000-0005-0000-0000-0000990C0000}"/>
    <cellStyle name="Input 51 2 2" xfId="5742" xr:uid="{00000000-0005-0000-0000-00009A0C0000}"/>
    <cellStyle name="Input 51 3" xfId="5741" xr:uid="{00000000-0005-0000-0000-00009B0C0000}"/>
    <cellStyle name="Input 52" xfId="2002" xr:uid="{00000000-0005-0000-0000-00009C0C0000}"/>
    <cellStyle name="Input 52 2" xfId="2003" xr:uid="{00000000-0005-0000-0000-00009D0C0000}"/>
    <cellStyle name="Input 52 2 2" xfId="5744" xr:uid="{00000000-0005-0000-0000-00009E0C0000}"/>
    <cellStyle name="Input 52 3" xfId="5743" xr:uid="{00000000-0005-0000-0000-00009F0C0000}"/>
    <cellStyle name="Input 53" xfId="2004" xr:uid="{00000000-0005-0000-0000-0000A00C0000}"/>
    <cellStyle name="Input 53 2" xfId="2005" xr:uid="{00000000-0005-0000-0000-0000A10C0000}"/>
    <cellStyle name="Input 53 2 2" xfId="5746" xr:uid="{00000000-0005-0000-0000-0000A20C0000}"/>
    <cellStyle name="Input 53 3" xfId="5745" xr:uid="{00000000-0005-0000-0000-0000A30C0000}"/>
    <cellStyle name="Input 54" xfId="2006" xr:uid="{00000000-0005-0000-0000-0000A40C0000}"/>
    <cellStyle name="Input 54 2" xfId="2007" xr:uid="{00000000-0005-0000-0000-0000A50C0000}"/>
    <cellStyle name="Input 54 2 2" xfId="5748" xr:uid="{00000000-0005-0000-0000-0000A60C0000}"/>
    <cellStyle name="Input 54 3" xfId="5747" xr:uid="{00000000-0005-0000-0000-0000A70C0000}"/>
    <cellStyle name="Input 55" xfId="2008" xr:uid="{00000000-0005-0000-0000-0000A80C0000}"/>
    <cellStyle name="Input 55 2" xfId="2009" xr:uid="{00000000-0005-0000-0000-0000A90C0000}"/>
    <cellStyle name="Input 55 2 2" xfId="5750" xr:uid="{00000000-0005-0000-0000-0000AA0C0000}"/>
    <cellStyle name="Input 55 3" xfId="5749" xr:uid="{00000000-0005-0000-0000-0000AB0C0000}"/>
    <cellStyle name="Input 56" xfId="2010" xr:uid="{00000000-0005-0000-0000-0000AC0C0000}"/>
    <cellStyle name="Input 56 2" xfId="2011" xr:uid="{00000000-0005-0000-0000-0000AD0C0000}"/>
    <cellStyle name="Input 56 2 2" xfId="5752" xr:uid="{00000000-0005-0000-0000-0000AE0C0000}"/>
    <cellStyle name="Input 56 3" xfId="5751" xr:uid="{00000000-0005-0000-0000-0000AF0C0000}"/>
    <cellStyle name="Input 57" xfId="2012" xr:uid="{00000000-0005-0000-0000-0000B00C0000}"/>
    <cellStyle name="Input 57 2" xfId="2013" xr:uid="{00000000-0005-0000-0000-0000B10C0000}"/>
    <cellStyle name="Input 57 2 2" xfId="5754" xr:uid="{00000000-0005-0000-0000-0000B20C0000}"/>
    <cellStyle name="Input 57 3" xfId="5753" xr:uid="{00000000-0005-0000-0000-0000B30C0000}"/>
    <cellStyle name="Input 58" xfId="2014" xr:uid="{00000000-0005-0000-0000-0000B40C0000}"/>
    <cellStyle name="Input 58 2" xfId="2015" xr:uid="{00000000-0005-0000-0000-0000B50C0000}"/>
    <cellStyle name="Input 58 2 2" xfId="5756" xr:uid="{00000000-0005-0000-0000-0000B60C0000}"/>
    <cellStyle name="Input 58 3" xfId="5755" xr:uid="{00000000-0005-0000-0000-0000B70C0000}"/>
    <cellStyle name="Input 59" xfId="2016" xr:uid="{00000000-0005-0000-0000-0000B80C0000}"/>
    <cellStyle name="Input 59 2" xfId="2017" xr:uid="{00000000-0005-0000-0000-0000B90C0000}"/>
    <cellStyle name="Input 59 2 2" xfId="5758" xr:uid="{00000000-0005-0000-0000-0000BA0C0000}"/>
    <cellStyle name="Input 59 3" xfId="5757" xr:uid="{00000000-0005-0000-0000-0000BB0C0000}"/>
    <cellStyle name="Input 6" xfId="580" xr:uid="{00000000-0005-0000-0000-0000BC0C0000}"/>
    <cellStyle name="Input 6 2" xfId="2018" xr:uid="{00000000-0005-0000-0000-0000BD0C0000}"/>
    <cellStyle name="Input 6 2 2" xfId="5760" xr:uid="{00000000-0005-0000-0000-0000BE0C0000}"/>
    <cellStyle name="Input 6 3" xfId="5759" xr:uid="{00000000-0005-0000-0000-0000BF0C0000}"/>
    <cellStyle name="Input 60" xfId="2019" xr:uid="{00000000-0005-0000-0000-0000C00C0000}"/>
    <cellStyle name="Input 60 2" xfId="2020" xr:uid="{00000000-0005-0000-0000-0000C10C0000}"/>
    <cellStyle name="Input 60 2 2" xfId="5762" xr:uid="{00000000-0005-0000-0000-0000C20C0000}"/>
    <cellStyle name="Input 60 3" xfId="5761" xr:uid="{00000000-0005-0000-0000-0000C30C0000}"/>
    <cellStyle name="Input 61" xfId="2021" xr:uid="{00000000-0005-0000-0000-0000C40C0000}"/>
    <cellStyle name="Input 61 2" xfId="2022" xr:uid="{00000000-0005-0000-0000-0000C50C0000}"/>
    <cellStyle name="Input 61 2 2" xfId="5764" xr:uid="{00000000-0005-0000-0000-0000C60C0000}"/>
    <cellStyle name="Input 61 3" xfId="5763" xr:uid="{00000000-0005-0000-0000-0000C70C0000}"/>
    <cellStyle name="Input 62" xfId="2023" xr:uid="{00000000-0005-0000-0000-0000C80C0000}"/>
    <cellStyle name="Input 62 2" xfId="2024" xr:uid="{00000000-0005-0000-0000-0000C90C0000}"/>
    <cellStyle name="Input 62 2 2" xfId="5766" xr:uid="{00000000-0005-0000-0000-0000CA0C0000}"/>
    <cellStyle name="Input 62 3" xfId="5765" xr:uid="{00000000-0005-0000-0000-0000CB0C0000}"/>
    <cellStyle name="Input 63" xfId="2025" xr:uid="{00000000-0005-0000-0000-0000CC0C0000}"/>
    <cellStyle name="Input 63 2" xfId="2026" xr:uid="{00000000-0005-0000-0000-0000CD0C0000}"/>
    <cellStyle name="Input 63 2 2" xfId="5768" xr:uid="{00000000-0005-0000-0000-0000CE0C0000}"/>
    <cellStyle name="Input 63 3" xfId="5767" xr:uid="{00000000-0005-0000-0000-0000CF0C0000}"/>
    <cellStyle name="Input 64" xfId="2027" xr:uid="{00000000-0005-0000-0000-0000D00C0000}"/>
    <cellStyle name="Input 64 2" xfId="2028" xr:uid="{00000000-0005-0000-0000-0000D10C0000}"/>
    <cellStyle name="Input 64 2 2" xfId="5770" xr:uid="{00000000-0005-0000-0000-0000D20C0000}"/>
    <cellStyle name="Input 64 3" xfId="5769" xr:uid="{00000000-0005-0000-0000-0000D30C0000}"/>
    <cellStyle name="Input 65" xfId="2029" xr:uid="{00000000-0005-0000-0000-0000D40C0000}"/>
    <cellStyle name="Input 65 2" xfId="2030" xr:uid="{00000000-0005-0000-0000-0000D50C0000}"/>
    <cellStyle name="Input 65 2 2" xfId="5772" xr:uid="{00000000-0005-0000-0000-0000D60C0000}"/>
    <cellStyle name="Input 65 3" xfId="5771" xr:uid="{00000000-0005-0000-0000-0000D70C0000}"/>
    <cellStyle name="Input 66" xfId="2031" xr:uid="{00000000-0005-0000-0000-0000D80C0000}"/>
    <cellStyle name="Input 66 2" xfId="2032" xr:uid="{00000000-0005-0000-0000-0000D90C0000}"/>
    <cellStyle name="Input 66 2 2" xfId="5774" xr:uid="{00000000-0005-0000-0000-0000DA0C0000}"/>
    <cellStyle name="Input 66 3" xfId="5773" xr:uid="{00000000-0005-0000-0000-0000DB0C0000}"/>
    <cellStyle name="Input 67" xfId="2033" xr:uid="{00000000-0005-0000-0000-0000DC0C0000}"/>
    <cellStyle name="Input 67 2" xfId="2034" xr:uid="{00000000-0005-0000-0000-0000DD0C0000}"/>
    <cellStyle name="Input 67 2 2" xfId="5776" xr:uid="{00000000-0005-0000-0000-0000DE0C0000}"/>
    <cellStyle name="Input 67 3" xfId="5775" xr:uid="{00000000-0005-0000-0000-0000DF0C0000}"/>
    <cellStyle name="Input 68" xfId="2035" xr:uid="{00000000-0005-0000-0000-0000E00C0000}"/>
    <cellStyle name="Input 68 2" xfId="2036" xr:uid="{00000000-0005-0000-0000-0000E10C0000}"/>
    <cellStyle name="Input 68 2 2" xfId="5778" xr:uid="{00000000-0005-0000-0000-0000E20C0000}"/>
    <cellStyle name="Input 68 3" xfId="5777" xr:uid="{00000000-0005-0000-0000-0000E30C0000}"/>
    <cellStyle name="Input 69" xfId="2037" xr:uid="{00000000-0005-0000-0000-0000E40C0000}"/>
    <cellStyle name="Input 69 2" xfId="2038" xr:uid="{00000000-0005-0000-0000-0000E50C0000}"/>
    <cellStyle name="Input 69 2 2" xfId="5780" xr:uid="{00000000-0005-0000-0000-0000E60C0000}"/>
    <cellStyle name="Input 69 3" xfId="5779" xr:uid="{00000000-0005-0000-0000-0000E70C0000}"/>
    <cellStyle name="Input 7" xfId="2039" xr:uid="{00000000-0005-0000-0000-0000E80C0000}"/>
    <cellStyle name="Input 7 2" xfId="2040" xr:uid="{00000000-0005-0000-0000-0000E90C0000}"/>
    <cellStyle name="Input 7 2 2" xfId="5782" xr:uid="{00000000-0005-0000-0000-0000EA0C0000}"/>
    <cellStyle name="Input 7 3" xfId="5781" xr:uid="{00000000-0005-0000-0000-0000EB0C0000}"/>
    <cellStyle name="Input 70" xfId="2041" xr:uid="{00000000-0005-0000-0000-0000EC0C0000}"/>
    <cellStyle name="Input 70 2" xfId="2042" xr:uid="{00000000-0005-0000-0000-0000ED0C0000}"/>
    <cellStyle name="Input 70 2 2" xfId="5784" xr:uid="{00000000-0005-0000-0000-0000EE0C0000}"/>
    <cellStyle name="Input 70 3" xfId="5783" xr:uid="{00000000-0005-0000-0000-0000EF0C0000}"/>
    <cellStyle name="Input 71" xfId="2043" xr:uid="{00000000-0005-0000-0000-0000F00C0000}"/>
    <cellStyle name="Input 71 2" xfId="2044" xr:uid="{00000000-0005-0000-0000-0000F10C0000}"/>
    <cellStyle name="Input 71 2 2" xfId="5786" xr:uid="{00000000-0005-0000-0000-0000F20C0000}"/>
    <cellStyle name="Input 71 3" xfId="5785" xr:uid="{00000000-0005-0000-0000-0000F30C0000}"/>
    <cellStyle name="Input 72" xfId="2045" xr:uid="{00000000-0005-0000-0000-0000F40C0000}"/>
    <cellStyle name="Input 72 2" xfId="2046" xr:uid="{00000000-0005-0000-0000-0000F50C0000}"/>
    <cellStyle name="Input 72 2 2" xfId="5788" xr:uid="{00000000-0005-0000-0000-0000F60C0000}"/>
    <cellStyle name="Input 72 3" xfId="5787" xr:uid="{00000000-0005-0000-0000-0000F70C0000}"/>
    <cellStyle name="Input 73" xfId="2047" xr:uid="{00000000-0005-0000-0000-0000F80C0000}"/>
    <cellStyle name="Input 73 2" xfId="2048" xr:uid="{00000000-0005-0000-0000-0000F90C0000}"/>
    <cellStyle name="Input 73 2 2" xfId="5790" xr:uid="{00000000-0005-0000-0000-0000FA0C0000}"/>
    <cellStyle name="Input 73 3" xfId="5789" xr:uid="{00000000-0005-0000-0000-0000FB0C0000}"/>
    <cellStyle name="Input 74" xfId="2049" xr:uid="{00000000-0005-0000-0000-0000FC0C0000}"/>
    <cellStyle name="Input 74 2" xfId="2050" xr:uid="{00000000-0005-0000-0000-0000FD0C0000}"/>
    <cellStyle name="Input 74 2 2" xfId="5792" xr:uid="{00000000-0005-0000-0000-0000FE0C0000}"/>
    <cellStyle name="Input 74 3" xfId="5791" xr:uid="{00000000-0005-0000-0000-0000FF0C0000}"/>
    <cellStyle name="Input 75" xfId="2051" xr:uid="{00000000-0005-0000-0000-0000000D0000}"/>
    <cellStyle name="Input 75 2" xfId="2052" xr:uid="{00000000-0005-0000-0000-0000010D0000}"/>
    <cellStyle name="Input 75 2 2" xfId="5794" xr:uid="{00000000-0005-0000-0000-0000020D0000}"/>
    <cellStyle name="Input 75 3" xfId="5793" xr:uid="{00000000-0005-0000-0000-0000030D0000}"/>
    <cellStyle name="Input 76" xfId="2053" xr:uid="{00000000-0005-0000-0000-0000040D0000}"/>
    <cellStyle name="Input 76 2" xfId="2054" xr:uid="{00000000-0005-0000-0000-0000050D0000}"/>
    <cellStyle name="Input 76 2 2" xfId="5796" xr:uid="{00000000-0005-0000-0000-0000060D0000}"/>
    <cellStyle name="Input 76 3" xfId="5795" xr:uid="{00000000-0005-0000-0000-0000070D0000}"/>
    <cellStyle name="Input 77" xfId="2055" xr:uid="{00000000-0005-0000-0000-0000080D0000}"/>
    <cellStyle name="Input 77 2" xfId="2056" xr:uid="{00000000-0005-0000-0000-0000090D0000}"/>
    <cellStyle name="Input 77 2 2" xfId="5798" xr:uid="{00000000-0005-0000-0000-00000A0D0000}"/>
    <cellStyle name="Input 77 3" xfId="5797" xr:uid="{00000000-0005-0000-0000-00000B0D0000}"/>
    <cellStyle name="Input 78" xfId="2057" xr:uid="{00000000-0005-0000-0000-00000C0D0000}"/>
    <cellStyle name="Input 78 2" xfId="2058" xr:uid="{00000000-0005-0000-0000-00000D0D0000}"/>
    <cellStyle name="Input 78 2 2" xfId="5800" xr:uid="{00000000-0005-0000-0000-00000E0D0000}"/>
    <cellStyle name="Input 78 3" xfId="5799" xr:uid="{00000000-0005-0000-0000-00000F0D0000}"/>
    <cellStyle name="Input 79" xfId="2059" xr:uid="{00000000-0005-0000-0000-0000100D0000}"/>
    <cellStyle name="Input 79 2" xfId="2060" xr:uid="{00000000-0005-0000-0000-0000110D0000}"/>
    <cellStyle name="Input 79 2 2" xfId="5802" xr:uid="{00000000-0005-0000-0000-0000120D0000}"/>
    <cellStyle name="Input 79 3" xfId="5801" xr:uid="{00000000-0005-0000-0000-0000130D0000}"/>
    <cellStyle name="Input 8" xfId="2061" xr:uid="{00000000-0005-0000-0000-0000140D0000}"/>
    <cellStyle name="Input 8 2" xfId="2062" xr:uid="{00000000-0005-0000-0000-0000150D0000}"/>
    <cellStyle name="Input 8 2 2" xfId="5804" xr:uid="{00000000-0005-0000-0000-0000160D0000}"/>
    <cellStyle name="Input 8 3" xfId="5803" xr:uid="{00000000-0005-0000-0000-0000170D0000}"/>
    <cellStyle name="Input 80" xfId="2063" xr:uid="{00000000-0005-0000-0000-0000180D0000}"/>
    <cellStyle name="Input 80 2" xfId="2064" xr:uid="{00000000-0005-0000-0000-0000190D0000}"/>
    <cellStyle name="Input 80 2 2" xfId="5806" xr:uid="{00000000-0005-0000-0000-00001A0D0000}"/>
    <cellStyle name="Input 80 3" xfId="5805" xr:uid="{00000000-0005-0000-0000-00001B0D0000}"/>
    <cellStyle name="Input 81" xfId="2065" xr:uid="{00000000-0005-0000-0000-00001C0D0000}"/>
    <cellStyle name="Input 81 2" xfId="2066" xr:uid="{00000000-0005-0000-0000-00001D0D0000}"/>
    <cellStyle name="Input 81 2 2" xfId="5808" xr:uid="{00000000-0005-0000-0000-00001E0D0000}"/>
    <cellStyle name="Input 81 3" xfId="5807" xr:uid="{00000000-0005-0000-0000-00001F0D0000}"/>
    <cellStyle name="Input 82" xfId="2067" xr:uid="{00000000-0005-0000-0000-0000200D0000}"/>
    <cellStyle name="Input 82 2" xfId="2068" xr:uid="{00000000-0005-0000-0000-0000210D0000}"/>
    <cellStyle name="Input 82 2 2" xfId="5810" xr:uid="{00000000-0005-0000-0000-0000220D0000}"/>
    <cellStyle name="Input 82 3" xfId="5809" xr:uid="{00000000-0005-0000-0000-0000230D0000}"/>
    <cellStyle name="Input 83" xfId="2069" xr:uid="{00000000-0005-0000-0000-0000240D0000}"/>
    <cellStyle name="Input 83 2" xfId="2070" xr:uid="{00000000-0005-0000-0000-0000250D0000}"/>
    <cellStyle name="Input 83 2 2" xfId="5812" xr:uid="{00000000-0005-0000-0000-0000260D0000}"/>
    <cellStyle name="Input 83 3" xfId="5811" xr:uid="{00000000-0005-0000-0000-0000270D0000}"/>
    <cellStyle name="Input 84" xfId="2071" xr:uid="{00000000-0005-0000-0000-0000280D0000}"/>
    <cellStyle name="Input 84 2" xfId="2072" xr:uid="{00000000-0005-0000-0000-0000290D0000}"/>
    <cellStyle name="Input 84 2 2" xfId="5814" xr:uid="{00000000-0005-0000-0000-00002A0D0000}"/>
    <cellStyle name="Input 84 3" xfId="5813" xr:uid="{00000000-0005-0000-0000-00002B0D0000}"/>
    <cellStyle name="Input 85" xfId="2073" xr:uid="{00000000-0005-0000-0000-00002C0D0000}"/>
    <cellStyle name="Input 85 2" xfId="2074" xr:uid="{00000000-0005-0000-0000-00002D0D0000}"/>
    <cellStyle name="Input 85 2 2" xfId="5816" xr:uid="{00000000-0005-0000-0000-00002E0D0000}"/>
    <cellStyle name="Input 85 3" xfId="5815" xr:uid="{00000000-0005-0000-0000-00002F0D0000}"/>
    <cellStyle name="Input 86" xfId="2075" xr:uid="{00000000-0005-0000-0000-0000300D0000}"/>
    <cellStyle name="Input 86 2" xfId="2076" xr:uid="{00000000-0005-0000-0000-0000310D0000}"/>
    <cellStyle name="Input 86 2 2" xfId="5818" xr:uid="{00000000-0005-0000-0000-0000320D0000}"/>
    <cellStyle name="Input 86 3" xfId="5817" xr:uid="{00000000-0005-0000-0000-0000330D0000}"/>
    <cellStyle name="Input 87" xfId="2077" xr:uid="{00000000-0005-0000-0000-0000340D0000}"/>
    <cellStyle name="Input 87 2" xfId="2078" xr:uid="{00000000-0005-0000-0000-0000350D0000}"/>
    <cellStyle name="Input 87 2 2" xfId="5820" xr:uid="{00000000-0005-0000-0000-0000360D0000}"/>
    <cellStyle name="Input 87 3" xfId="5819" xr:uid="{00000000-0005-0000-0000-0000370D0000}"/>
    <cellStyle name="Input 88" xfId="2079" xr:uid="{00000000-0005-0000-0000-0000380D0000}"/>
    <cellStyle name="Input 88 2" xfId="2080" xr:uid="{00000000-0005-0000-0000-0000390D0000}"/>
    <cellStyle name="Input 88 2 2" xfId="5822" xr:uid="{00000000-0005-0000-0000-00003A0D0000}"/>
    <cellStyle name="Input 88 3" xfId="5821" xr:uid="{00000000-0005-0000-0000-00003B0D0000}"/>
    <cellStyle name="Input 89" xfId="2081" xr:uid="{00000000-0005-0000-0000-00003C0D0000}"/>
    <cellStyle name="Input 89 2" xfId="2082" xr:uid="{00000000-0005-0000-0000-00003D0D0000}"/>
    <cellStyle name="Input 89 2 2" xfId="5824" xr:uid="{00000000-0005-0000-0000-00003E0D0000}"/>
    <cellStyle name="Input 89 3" xfId="5823" xr:uid="{00000000-0005-0000-0000-00003F0D0000}"/>
    <cellStyle name="Input 9" xfId="2083" xr:uid="{00000000-0005-0000-0000-0000400D0000}"/>
    <cellStyle name="Input 9 2" xfId="2084" xr:uid="{00000000-0005-0000-0000-0000410D0000}"/>
    <cellStyle name="Input 9 2 2" xfId="5826" xr:uid="{00000000-0005-0000-0000-0000420D0000}"/>
    <cellStyle name="Input 9 3" xfId="5825" xr:uid="{00000000-0005-0000-0000-0000430D0000}"/>
    <cellStyle name="Input 90" xfId="2085" xr:uid="{00000000-0005-0000-0000-0000440D0000}"/>
    <cellStyle name="Input 90 2" xfId="2086" xr:uid="{00000000-0005-0000-0000-0000450D0000}"/>
    <cellStyle name="Input 90 2 2" xfId="5828" xr:uid="{00000000-0005-0000-0000-0000460D0000}"/>
    <cellStyle name="Input 90 3" xfId="5827" xr:uid="{00000000-0005-0000-0000-0000470D0000}"/>
    <cellStyle name="Input 91" xfId="2087" xr:uid="{00000000-0005-0000-0000-0000480D0000}"/>
    <cellStyle name="Input 91 2" xfId="2088" xr:uid="{00000000-0005-0000-0000-0000490D0000}"/>
    <cellStyle name="Input 91 2 2" xfId="5830" xr:uid="{00000000-0005-0000-0000-00004A0D0000}"/>
    <cellStyle name="Input 91 3" xfId="5829" xr:uid="{00000000-0005-0000-0000-00004B0D0000}"/>
    <cellStyle name="Input 92" xfId="2089" xr:uid="{00000000-0005-0000-0000-00004C0D0000}"/>
    <cellStyle name="Input 92 2" xfId="2090" xr:uid="{00000000-0005-0000-0000-00004D0D0000}"/>
    <cellStyle name="Input 92 2 2" xfId="5832" xr:uid="{00000000-0005-0000-0000-00004E0D0000}"/>
    <cellStyle name="Input 92 3" xfId="5831" xr:uid="{00000000-0005-0000-0000-00004F0D0000}"/>
    <cellStyle name="Input 93" xfId="2091" xr:uid="{00000000-0005-0000-0000-0000500D0000}"/>
    <cellStyle name="Input 93 2" xfId="2092" xr:uid="{00000000-0005-0000-0000-0000510D0000}"/>
    <cellStyle name="Input 93 2 2" xfId="5834" xr:uid="{00000000-0005-0000-0000-0000520D0000}"/>
    <cellStyle name="Input 93 3" xfId="5833" xr:uid="{00000000-0005-0000-0000-0000530D0000}"/>
    <cellStyle name="Input 94" xfId="2093" xr:uid="{00000000-0005-0000-0000-0000540D0000}"/>
    <cellStyle name="Input 94 2" xfId="2094" xr:uid="{00000000-0005-0000-0000-0000550D0000}"/>
    <cellStyle name="Input 94 2 2" xfId="5836" xr:uid="{00000000-0005-0000-0000-0000560D0000}"/>
    <cellStyle name="Input 94 3" xfId="5835" xr:uid="{00000000-0005-0000-0000-0000570D0000}"/>
    <cellStyle name="Input 95" xfId="2095" xr:uid="{00000000-0005-0000-0000-0000580D0000}"/>
    <cellStyle name="Input 95 2" xfId="2096" xr:uid="{00000000-0005-0000-0000-0000590D0000}"/>
    <cellStyle name="Input 95 2 2" xfId="5838" xr:uid="{00000000-0005-0000-0000-00005A0D0000}"/>
    <cellStyle name="Input 95 3" xfId="5837" xr:uid="{00000000-0005-0000-0000-00005B0D0000}"/>
    <cellStyle name="Input 96" xfId="2097" xr:uid="{00000000-0005-0000-0000-00005C0D0000}"/>
    <cellStyle name="Input 96 2" xfId="2098" xr:uid="{00000000-0005-0000-0000-00005D0D0000}"/>
    <cellStyle name="Input 96 2 2" xfId="5840" xr:uid="{00000000-0005-0000-0000-00005E0D0000}"/>
    <cellStyle name="Input 96 3" xfId="5839" xr:uid="{00000000-0005-0000-0000-00005F0D0000}"/>
    <cellStyle name="Input 97" xfId="2099" xr:uid="{00000000-0005-0000-0000-0000600D0000}"/>
    <cellStyle name="Input 97 2" xfId="2100" xr:uid="{00000000-0005-0000-0000-0000610D0000}"/>
    <cellStyle name="Input 97 2 2" xfId="5842" xr:uid="{00000000-0005-0000-0000-0000620D0000}"/>
    <cellStyle name="Input 97 3" xfId="5841" xr:uid="{00000000-0005-0000-0000-0000630D0000}"/>
    <cellStyle name="Input 98" xfId="2101" xr:uid="{00000000-0005-0000-0000-0000640D0000}"/>
    <cellStyle name="Input 98 2" xfId="2102" xr:uid="{00000000-0005-0000-0000-0000650D0000}"/>
    <cellStyle name="Input 98 2 2" xfId="5844" xr:uid="{00000000-0005-0000-0000-0000660D0000}"/>
    <cellStyle name="Input 98 3" xfId="5843" xr:uid="{00000000-0005-0000-0000-0000670D0000}"/>
    <cellStyle name="Input 99" xfId="2103" xr:uid="{00000000-0005-0000-0000-0000680D0000}"/>
    <cellStyle name="Input 99 2" xfId="2104" xr:uid="{00000000-0005-0000-0000-0000690D0000}"/>
    <cellStyle name="Input 99 2 2" xfId="5846" xr:uid="{00000000-0005-0000-0000-00006A0D0000}"/>
    <cellStyle name="Input 99 3" xfId="5845" xr:uid="{00000000-0005-0000-0000-00006B0D0000}"/>
    <cellStyle name="les" xfId="2105" xr:uid="{00000000-0005-0000-0000-00006C0D0000}"/>
    <cellStyle name="les 2" xfId="2106" xr:uid="{00000000-0005-0000-0000-00006D0D0000}"/>
    <cellStyle name="les 2 2" xfId="5848" xr:uid="{00000000-0005-0000-0000-00006E0D0000}"/>
    <cellStyle name="les 3" xfId="5847" xr:uid="{00000000-0005-0000-0000-00006F0D0000}"/>
    <cellStyle name="Link Currency (0)" xfId="2107" xr:uid="{00000000-0005-0000-0000-0000700D0000}"/>
    <cellStyle name="Link Currency (2)" xfId="2108" xr:uid="{00000000-0005-0000-0000-0000710D0000}"/>
    <cellStyle name="Link Currency (2) 2" xfId="5849" xr:uid="{00000000-0005-0000-0000-0000720D0000}"/>
    <cellStyle name="Link Units (0)" xfId="2109" xr:uid="{00000000-0005-0000-0000-0000730D0000}"/>
    <cellStyle name="Link Units (1)" xfId="2110" xr:uid="{00000000-0005-0000-0000-0000740D0000}"/>
    <cellStyle name="Link Units (1) 2" xfId="5850" xr:uid="{00000000-0005-0000-0000-0000750D0000}"/>
    <cellStyle name="Link Units (2)" xfId="2111" xr:uid="{00000000-0005-0000-0000-0000760D0000}"/>
    <cellStyle name="Link Units (2) 2" xfId="5851" xr:uid="{00000000-0005-0000-0000-0000770D0000}"/>
    <cellStyle name="Linked Cell" xfId="271" builtinId="24" customBuiltin="1"/>
    <cellStyle name="Linked Cell 2" xfId="272" xr:uid="{00000000-0005-0000-0000-0000790D0000}"/>
    <cellStyle name="Linked Cell 2 2" xfId="585" xr:uid="{00000000-0005-0000-0000-00007A0D0000}"/>
    <cellStyle name="Linked Cell 2 2 2" xfId="2113" xr:uid="{00000000-0005-0000-0000-00007B0D0000}"/>
    <cellStyle name="Linked Cell 2 2 3" xfId="2114" xr:uid="{00000000-0005-0000-0000-00007C0D0000}"/>
    <cellStyle name="Linked Cell 2 2 4" xfId="2115" xr:uid="{00000000-0005-0000-0000-00007D0D0000}"/>
    <cellStyle name="Linked Cell 2 2 5" xfId="2112" xr:uid="{00000000-0005-0000-0000-00007E0D0000}"/>
    <cellStyle name="Linked Cell 2 2 6" xfId="5852" xr:uid="{00000000-0005-0000-0000-00007F0D0000}"/>
    <cellStyle name="Linked Cell 2 3" xfId="5853" xr:uid="{00000000-0005-0000-0000-0000800D0000}"/>
    <cellStyle name="Linked Cell 3" xfId="273" xr:uid="{00000000-0005-0000-0000-0000810D0000}"/>
    <cellStyle name="Linked Cell 3 2" xfId="2116" xr:uid="{00000000-0005-0000-0000-0000820D0000}"/>
    <cellStyle name="Linked Cell 3 2 2" xfId="5854" xr:uid="{00000000-0005-0000-0000-0000830D0000}"/>
    <cellStyle name="Linked Cell 3 3" xfId="5855" xr:uid="{00000000-0005-0000-0000-0000840D0000}"/>
    <cellStyle name="Linked Cell 4" xfId="586" xr:uid="{00000000-0005-0000-0000-0000850D0000}"/>
    <cellStyle name="Linked Cell 4 2" xfId="2117" xr:uid="{00000000-0005-0000-0000-0000860D0000}"/>
    <cellStyle name="Linked Cell 4 2 2" xfId="5856" xr:uid="{00000000-0005-0000-0000-0000870D0000}"/>
    <cellStyle name="Linked Cell 4 3" xfId="2118" xr:uid="{00000000-0005-0000-0000-0000880D0000}"/>
    <cellStyle name="Linked Cell 4 4" xfId="6471" xr:uid="{00000000-0005-0000-0000-0000890D0000}"/>
    <cellStyle name="Linked Cell 5" xfId="587" xr:uid="{00000000-0005-0000-0000-00008A0D0000}"/>
    <cellStyle name="Linked Cell 6" xfId="584" xr:uid="{00000000-0005-0000-0000-00008B0D0000}"/>
    <cellStyle name="Milliers [0]_!!!GO" xfId="2119" xr:uid="{00000000-0005-0000-0000-00008C0D0000}"/>
    <cellStyle name="Milliers_!!!GO" xfId="2120" xr:uid="{00000000-0005-0000-0000-00008D0D0000}"/>
    <cellStyle name="Model" xfId="2121" xr:uid="{00000000-0005-0000-0000-00008E0D0000}"/>
    <cellStyle name="Model 2" xfId="2122" xr:uid="{00000000-0005-0000-0000-00008F0D0000}"/>
    <cellStyle name="Model 2 2" xfId="2123" xr:uid="{00000000-0005-0000-0000-0000900D0000}"/>
    <cellStyle name="Model 2 3" xfId="5858" xr:uid="{00000000-0005-0000-0000-0000910D0000}"/>
    <cellStyle name="Model 3" xfId="5857" xr:uid="{00000000-0005-0000-0000-0000920D0000}"/>
    <cellStyle name="Monétaire [0]_!!!GO" xfId="2124" xr:uid="{00000000-0005-0000-0000-0000930D0000}"/>
    <cellStyle name="Monétaire_!!!GO" xfId="2125" xr:uid="{00000000-0005-0000-0000-0000940D0000}"/>
    <cellStyle name="Neutral" xfId="274" builtinId="28" customBuiltin="1"/>
    <cellStyle name="Neutral 2" xfId="275" xr:uid="{00000000-0005-0000-0000-0000960D0000}"/>
    <cellStyle name="Neutral 2 2" xfId="589" xr:uid="{00000000-0005-0000-0000-0000970D0000}"/>
    <cellStyle name="Neutral 2 2 2" xfId="2127" xr:uid="{00000000-0005-0000-0000-0000980D0000}"/>
    <cellStyle name="Neutral 2 2 3" xfId="2128" xr:uid="{00000000-0005-0000-0000-0000990D0000}"/>
    <cellStyle name="Neutral 2 2 4" xfId="2129" xr:uid="{00000000-0005-0000-0000-00009A0D0000}"/>
    <cellStyle name="Neutral 2 2 5" xfId="2126" xr:uid="{00000000-0005-0000-0000-00009B0D0000}"/>
    <cellStyle name="Neutral 2 2 6" xfId="5859" xr:uid="{00000000-0005-0000-0000-00009C0D0000}"/>
    <cellStyle name="Neutral 2 3" xfId="5860" xr:uid="{00000000-0005-0000-0000-00009D0D0000}"/>
    <cellStyle name="Neutral 3" xfId="276" xr:uid="{00000000-0005-0000-0000-00009E0D0000}"/>
    <cellStyle name="Neutral 3 2" xfId="2130" xr:uid="{00000000-0005-0000-0000-00009F0D0000}"/>
    <cellStyle name="Neutral 3 2 2" xfId="5861" xr:uid="{00000000-0005-0000-0000-0000A00D0000}"/>
    <cellStyle name="Neutral 3 3" xfId="5862" xr:uid="{00000000-0005-0000-0000-0000A10D0000}"/>
    <cellStyle name="Neutral 4" xfId="590" xr:uid="{00000000-0005-0000-0000-0000A20D0000}"/>
    <cellStyle name="Neutral 4 2" xfId="2131" xr:uid="{00000000-0005-0000-0000-0000A30D0000}"/>
    <cellStyle name="Neutral 4 2 2" xfId="5863" xr:uid="{00000000-0005-0000-0000-0000A40D0000}"/>
    <cellStyle name="Neutral 4 3" xfId="2132" xr:uid="{00000000-0005-0000-0000-0000A50D0000}"/>
    <cellStyle name="Neutral 5" xfId="591" xr:uid="{00000000-0005-0000-0000-0000A60D0000}"/>
    <cellStyle name="Neutral 6" xfId="588" xr:uid="{00000000-0005-0000-0000-0000A70D0000}"/>
    <cellStyle name="Normal" xfId="0" builtinId="0"/>
    <cellStyle name="Normal - Style1" xfId="2133" xr:uid="{00000000-0005-0000-0000-0000A90D0000}"/>
    <cellStyle name="Normal - Style1 2" xfId="5864" xr:uid="{00000000-0005-0000-0000-0000AA0D0000}"/>
    <cellStyle name="Normal 10" xfId="417" xr:uid="{00000000-0005-0000-0000-0000AB0D0000}"/>
    <cellStyle name="Normal 10 2" xfId="2134" xr:uid="{00000000-0005-0000-0000-0000AC0D0000}"/>
    <cellStyle name="Normal 10 2 2" xfId="2135" xr:uid="{00000000-0005-0000-0000-0000AD0D0000}"/>
    <cellStyle name="Normal 10 2 2 2" xfId="2136" xr:uid="{00000000-0005-0000-0000-0000AE0D0000}"/>
    <cellStyle name="Normal 10 2 2 2 2" xfId="4370" xr:uid="{00000000-0005-0000-0000-0000AF0D0000}"/>
    <cellStyle name="Normal 10 2 3" xfId="2137" xr:uid="{00000000-0005-0000-0000-0000B00D0000}"/>
    <cellStyle name="Normal 10 2 4" xfId="2138" xr:uid="{00000000-0005-0000-0000-0000B10D0000}"/>
    <cellStyle name="Normal 10 2 4 2" xfId="4371" xr:uid="{00000000-0005-0000-0000-0000B20D0000}"/>
    <cellStyle name="Normal 10 2 5" xfId="2139" xr:uid="{00000000-0005-0000-0000-0000B30D0000}"/>
    <cellStyle name="Normal 10 2 6" xfId="4369" xr:uid="{00000000-0005-0000-0000-0000B40D0000}"/>
    <cellStyle name="Normal 10 3" xfId="2140" xr:uid="{00000000-0005-0000-0000-0000B50D0000}"/>
    <cellStyle name="Normal 10 3 2" xfId="2141" xr:uid="{00000000-0005-0000-0000-0000B60D0000}"/>
    <cellStyle name="Normal 10 3 2 2" xfId="4372" xr:uid="{00000000-0005-0000-0000-0000B70D0000}"/>
    <cellStyle name="Normal 10 4" xfId="2142" xr:uid="{00000000-0005-0000-0000-0000B80D0000}"/>
    <cellStyle name="Normal 100" xfId="2143" xr:uid="{00000000-0005-0000-0000-0000B90D0000}"/>
    <cellStyle name="Normal 100 2" xfId="2144" xr:uid="{00000000-0005-0000-0000-0000BA0D0000}"/>
    <cellStyle name="Normal 101" xfId="2145" xr:uid="{00000000-0005-0000-0000-0000BB0D0000}"/>
    <cellStyle name="Normal 101 2" xfId="2146" xr:uid="{00000000-0005-0000-0000-0000BC0D0000}"/>
    <cellStyle name="Normal 102" xfId="2147" xr:uid="{00000000-0005-0000-0000-0000BD0D0000}"/>
    <cellStyle name="Normal 102 2" xfId="2148" xr:uid="{00000000-0005-0000-0000-0000BE0D0000}"/>
    <cellStyle name="Normal 103" xfId="2149" xr:uid="{00000000-0005-0000-0000-0000BF0D0000}"/>
    <cellStyle name="Normal 103 2" xfId="2150" xr:uid="{00000000-0005-0000-0000-0000C00D0000}"/>
    <cellStyle name="Normal 104" xfId="2151" xr:uid="{00000000-0005-0000-0000-0000C10D0000}"/>
    <cellStyle name="Normal 104 2" xfId="2152" xr:uid="{00000000-0005-0000-0000-0000C20D0000}"/>
    <cellStyle name="Normal 105" xfId="2153" xr:uid="{00000000-0005-0000-0000-0000C30D0000}"/>
    <cellStyle name="Normal 105 2" xfId="2154" xr:uid="{00000000-0005-0000-0000-0000C40D0000}"/>
    <cellStyle name="Normal 106" xfId="2155" xr:uid="{00000000-0005-0000-0000-0000C50D0000}"/>
    <cellStyle name="Normal 106 2" xfId="2156" xr:uid="{00000000-0005-0000-0000-0000C60D0000}"/>
    <cellStyle name="Normal 107" xfId="2157" xr:uid="{00000000-0005-0000-0000-0000C70D0000}"/>
    <cellStyle name="Normal 107 2" xfId="2158" xr:uid="{00000000-0005-0000-0000-0000C80D0000}"/>
    <cellStyle name="Normal 108" xfId="2159" xr:uid="{00000000-0005-0000-0000-0000C90D0000}"/>
    <cellStyle name="Normal 108 2" xfId="2160" xr:uid="{00000000-0005-0000-0000-0000CA0D0000}"/>
    <cellStyle name="Normal 109" xfId="2161" xr:uid="{00000000-0005-0000-0000-0000CB0D0000}"/>
    <cellStyle name="Normal 109 2" xfId="2162" xr:uid="{00000000-0005-0000-0000-0000CC0D0000}"/>
    <cellStyle name="Normal 11" xfId="3893" xr:uid="{00000000-0005-0000-0000-0000CD0D0000}"/>
    <cellStyle name="Normal 11 2" xfId="2163" xr:uid="{00000000-0005-0000-0000-0000CE0D0000}"/>
    <cellStyle name="Normal 11 2 2" xfId="2164" xr:uid="{00000000-0005-0000-0000-0000CF0D0000}"/>
    <cellStyle name="Normal 11 2 3" xfId="2165" xr:uid="{00000000-0005-0000-0000-0000D00D0000}"/>
    <cellStyle name="Normal 11 3" xfId="2166" xr:uid="{00000000-0005-0000-0000-0000D10D0000}"/>
    <cellStyle name="Normal 110" xfId="2167" xr:uid="{00000000-0005-0000-0000-0000D20D0000}"/>
    <cellStyle name="Normal 110 2" xfId="2168" xr:uid="{00000000-0005-0000-0000-0000D30D0000}"/>
    <cellStyle name="Normal 111" xfId="2169" xr:uid="{00000000-0005-0000-0000-0000D40D0000}"/>
    <cellStyle name="Normal 111 2" xfId="2170" xr:uid="{00000000-0005-0000-0000-0000D50D0000}"/>
    <cellStyle name="Normal 112" xfId="2171" xr:uid="{00000000-0005-0000-0000-0000D60D0000}"/>
    <cellStyle name="Normal 112 2" xfId="2172" xr:uid="{00000000-0005-0000-0000-0000D70D0000}"/>
    <cellStyle name="Normal 113" xfId="2173" xr:uid="{00000000-0005-0000-0000-0000D80D0000}"/>
    <cellStyle name="Normal 113 2" xfId="2174" xr:uid="{00000000-0005-0000-0000-0000D90D0000}"/>
    <cellStyle name="Normal 114" xfId="2175" xr:uid="{00000000-0005-0000-0000-0000DA0D0000}"/>
    <cellStyle name="Normal 114 2" xfId="2176" xr:uid="{00000000-0005-0000-0000-0000DB0D0000}"/>
    <cellStyle name="Normal 115" xfId="2177" xr:uid="{00000000-0005-0000-0000-0000DC0D0000}"/>
    <cellStyle name="Normal 115 2" xfId="2178" xr:uid="{00000000-0005-0000-0000-0000DD0D0000}"/>
    <cellStyle name="Normal 116" xfId="2179" xr:uid="{00000000-0005-0000-0000-0000DE0D0000}"/>
    <cellStyle name="Normal 116 2" xfId="2180" xr:uid="{00000000-0005-0000-0000-0000DF0D0000}"/>
    <cellStyle name="Normal 116 2 2" xfId="4374" xr:uid="{00000000-0005-0000-0000-0000E00D0000}"/>
    <cellStyle name="Normal 116 2 3" xfId="5866" xr:uid="{00000000-0005-0000-0000-0000E10D0000}"/>
    <cellStyle name="Normal 116 3" xfId="4373" xr:uid="{00000000-0005-0000-0000-0000E20D0000}"/>
    <cellStyle name="Normal 116 4" xfId="5865" xr:uid="{00000000-0005-0000-0000-0000E30D0000}"/>
    <cellStyle name="Normal 117" xfId="2181" xr:uid="{00000000-0005-0000-0000-0000E40D0000}"/>
    <cellStyle name="Normal 117 2" xfId="2182" xr:uid="{00000000-0005-0000-0000-0000E50D0000}"/>
    <cellStyle name="Normal 118" xfId="2183" xr:uid="{00000000-0005-0000-0000-0000E60D0000}"/>
    <cellStyle name="Normal 118 2" xfId="2184" xr:uid="{00000000-0005-0000-0000-0000E70D0000}"/>
    <cellStyle name="Normal 119" xfId="2185" xr:uid="{00000000-0005-0000-0000-0000E80D0000}"/>
    <cellStyle name="Normal 119 2" xfId="2186" xr:uid="{00000000-0005-0000-0000-0000E90D0000}"/>
    <cellStyle name="Normal 12" xfId="3891" xr:uid="{00000000-0005-0000-0000-0000EA0D0000}"/>
    <cellStyle name="Normal 12 2" xfId="2187" xr:uid="{00000000-0005-0000-0000-0000EB0D0000}"/>
    <cellStyle name="Normal 12 2 2" xfId="2188" xr:uid="{00000000-0005-0000-0000-0000EC0D0000}"/>
    <cellStyle name="Normal 12 2 3" xfId="2189" xr:uid="{00000000-0005-0000-0000-0000ED0D0000}"/>
    <cellStyle name="Normal 12 3" xfId="2190" xr:uid="{00000000-0005-0000-0000-0000EE0D0000}"/>
    <cellStyle name="Normal 12 4" xfId="2191" xr:uid="{00000000-0005-0000-0000-0000EF0D0000}"/>
    <cellStyle name="Normal 120" xfId="2192" xr:uid="{00000000-0005-0000-0000-0000F00D0000}"/>
    <cellStyle name="Normal 120 2" xfId="2193" xr:uid="{00000000-0005-0000-0000-0000F10D0000}"/>
    <cellStyle name="Normal 121" xfId="2194" xr:uid="{00000000-0005-0000-0000-0000F20D0000}"/>
    <cellStyle name="Normal 121 2" xfId="2195" xr:uid="{00000000-0005-0000-0000-0000F30D0000}"/>
    <cellStyle name="Normal 122" xfId="2196" xr:uid="{00000000-0005-0000-0000-0000F40D0000}"/>
    <cellStyle name="Normal 122 2" xfId="2197" xr:uid="{00000000-0005-0000-0000-0000F50D0000}"/>
    <cellStyle name="Normal 123" xfId="2198" xr:uid="{00000000-0005-0000-0000-0000F60D0000}"/>
    <cellStyle name="Normal 123 2" xfId="2199" xr:uid="{00000000-0005-0000-0000-0000F70D0000}"/>
    <cellStyle name="Normal 124" xfId="2200" xr:uid="{00000000-0005-0000-0000-0000F80D0000}"/>
    <cellStyle name="Normal 124 2" xfId="2201" xr:uid="{00000000-0005-0000-0000-0000F90D0000}"/>
    <cellStyle name="Normal 125" xfId="2202" xr:uid="{00000000-0005-0000-0000-0000FA0D0000}"/>
    <cellStyle name="Normal 125 2" xfId="2203" xr:uid="{00000000-0005-0000-0000-0000FB0D0000}"/>
    <cellStyle name="Normal 126" xfId="2204" xr:uid="{00000000-0005-0000-0000-0000FC0D0000}"/>
    <cellStyle name="Normal 126 2" xfId="2205" xr:uid="{00000000-0005-0000-0000-0000FD0D0000}"/>
    <cellStyle name="Normal 127" xfId="2206" xr:uid="{00000000-0005-0000-0000-0000FE0D0000}"/>
    <cellStyle name="Normal 127 2" xfId="2207" xr:uid="{00000000-0005-0000-0000-0000FF0D0000}"/>
    <cellStyle name="Normal 128" xfId="2208" xr:uid="{00000000-0005-0000-0000-0000000E0000}"/>
    <cellStyle name="Normal 128 2" xfId="2209" xr:uid="{00000000-0005-0000-0000-0000010E0000}"/>
    <cellStyle name="Normal 129" xfId="2210" xr:uid="{00000000-0005-0000-0000-0000020E0000}"/>
    <cellStyle name="Normal 129 2" xfId="2211" xr:uid="{00000000-0005-0000-0000-0000030E0000}"/>
    <cellStyle name="Normal 13" xfId="3892" xr:uid="{00000000-0005-0000-0000-0000040E0000}"/>
    <cellStyle name="Normal 13 2" xfId="2212" xr:uid="{00000000-0005-0000-0000-0000050E0000}"/>
    <cellStyle name="Normal 13 2 2" xfId="2213" xr:uid="{00000000-0005-0000-0000-0000060E0000}"/>
    <cellStyle name="Normal 13 2 3" xfId="2214" xr:uid="{00000000-0005-0000-0000-0000070E0000}"/>
    <cellStyle name="Normal 13 3" xfId="2215" xr:uid="{00000000-0005-0000-0000-0000080E0000}"/>
    <cellStyle name="Normal 130" xfId="2216" xr:uid="{00000000-0005-0000-0000-0000090E0000}"/>
    <cellStyle name="Normal 130 2" xfId="2217" xr:uid="{00000000-0005-0000-0000-00000A0E0000}"/>
    <cellStyle name="Normal 131" xfId="2218" xr:uid="{00000000-0005-0000-0000-00000B0E0000}"/>
    <cellStyle name="Normal 131 2" xfId="2219" xr:uid="{00000000-0005-0000-0000-00000C0E0000}"/>
    <cellStyle name="Normal 132" xfId="2220" xr:uid="{00000000-0005-0000-0000-00000D0E0000}"/>
    <cellStyle name="Normal 132 2" xfId="2221" xr:uid="{00000000-0005-0000-0000-00000E0E0000}"/>
    <cellStyle name="Normal 133" xfId="2222" xr:uid="{00000000-0005-0000-0000-00000F0E0000}"/>
    <cellStyle name="Normal 133 2" xfId="2223" xr:uid="{00000000-0005-0000-0000-0000100E0000}"/>
    <cellStyle name="Normal 134" xfId="2224" xr:uid="{00000000-0005-0000-0000-0000110E0000}"/>
    <cellStyle name="Normal 134 2" xfId="2225" xr:uid="{00000000-0005-0000-0000-0000120E0000}"/>
    <cellStyle name="Normal 135" xfId="2226" xr:uid="{00000000-0005-0000-0000-0000130E0000}"/>
    <cellStyle name="Normal 135 2" xfId="2227" xr:uid="{00000000-0005-0000-0000-0000140E0000}"/>
    <cellStyle name="Normal 136" xfId="2228" xr:uid="{00000000-0005-0000-0000-0000150E0000}"/>
    <cellStyle name="Normal 136 2" xfId="2229" xr:uid="{00000000-0005-0000-0000-0000160E0000}"/>
    <cellStyle name="Normal 137" xfId="2230" xr:uid="{00000000-0005-0000-0000-0000170E0000}"/>
    <cellStyle name="Normal 137 2" xfId="2231" xr:uid="{00000000-0005-0000-0000-0000180E0000}"/>
    <cellStyle name="Normal 138" xfId="2232" xr:uid="{00000000-0005-0000-0000-0000190E0000}"/>
    <cellStyle name="Normal 138 2" xfId="2233" xr:uid="{00000000-0005-0000-0000-00001A0E0000}"/>
    <cellStyle name="Normal 138 2 2" xfId="2234" xr:uid="{00000000-0005-0000-0000-00001B0E0000}"/>
    <cellStyle name="Normal 138 2 2 2" xfId="4376" xr:uid="{00000000-0005-0000-0000-00001C0E0000}"/>
    <cellStyle name="Normal 138 2 2 3" xfId="5868" xr:uid="{00000000-0005-0000-0000-00001D0E0000}"/>
    <cellStyle name="Normal 138 2 3" xfId="2235" xr:uid="{00000000-0005-0000-0000-00001E0E0000}"/>
    <cellStyle name="Normal 138 2 3 2" xfId="4377" xr:uid="{00000000-0005-0000-0000-00001F0E0000}"/>
    <cellStyle name="Normal 138 2 3 3" xfId="5869" xr:uid="{00000000-0005-0000-0000-0000200E0000}"/>
    <cellStyle name="Normal 138 2 4" xfId="2236" xr:uid="{00000000-0005-0000-0000-0000210E0000}"/>
    <cellStyle name="Normal 138 2 4 2" xfId="4378" xr:uid="{00000000-0005-0000-0000-0000220E0000}"/>
    <cellStyle name="Normal 138 2 5" xfId="4375" xr:uid="{00000000-0005-0000-0000-0000230E0000}"/>
    <cellStyle name="Normal 138 2 6" xfId="5867" xr:uid="{00000000-0005-0000-0000-0000240E0000}"/>
    <cellStyle name="Normal 138 3" xfId="2237" xr:uid="{00000000-0005-0000-0000-0000250E0000}"/>
    <cellStyle name="Normal 139" xfId="2238" xr:uid="{00000000-0005-0000-0000-0000260E0000}"/>
    <cellStyle name="Normal 139 2" xfId="2239" xr:uid="{00000000-0005-0000-0000-0000270E0000}"/>
    <cellStyle name="Normal 14" xfId="399" xr:uid="{00000000-0005-0000-0000-0000280E0000}"/>
    <cellStyle name="Normal 14 2" xfId="2240" xr:uid="{00000000-0005-0000-0000-0000290E0000}"/>
    <cellStyle name="Normal 14 2 2" xfId="2241" xr:uid="{00000000-0005-0000-0000-00002A0E0000}"/>
    <cellStyle name="Normal 14 2 3" xfId="2242" xr:uid="{00000000-0005-0000-0000-00002B0E0000}"/>
    <cellStyle name="Normal 14 3" xfId="2243" xr:uid="{00000000-0005-0000-0000-00002C0E0000}"/>
    <cellStyle name="Normal 140" xfId="2244" xr:uid="{00000000-0005-0000-0000-00002D0E0000}"/>
    <cellStyle name="Normal 140 2" xfId="2245" xr:uid="{00000000-0005-0000-0000-00002E0E0000}"/>
    <cellStyle name="Normal 140 2 2" xfId="2246" xr:uid="{00000000-0005-0000-0000-00002F0E0000}"/>
    <cellStyle name="Normal 140 2 2 2" xfId="4380" xr:uid="{00000000-0005-0000-0000-0000300E0000}"/>
    <cellStyle name="Normal 140 2 2 3" xfId="5871" xr:uid="{00000000-0005-0000-0000-0000310E0000}"/>
    <cellStyle name="Normal 140 2 3" xfId="2247" xr:uid="{00000000-0005-0000-0000-0000320E0000}"/>
    <cellStyle name="Normal 140 2 3 2" xfId="4381" xr:uid="{00000000-0005-0000-0000-0000330E0000}"/>
    <cellStyle name="Normal 140 2 3 3" xfId="5872" xr:uid="{00000000-0005-0000-0000-0000340E0000}"/>
    <cellStyle name="Normal 140 2 4" xfId="2248" xr:uid="{00000000-0005-0000-0000-0000350E0000}"/>
    <cellStyle name="Normal 140 2 4 2" xfId="4382" xr:uid="{00000000-0005-0000-0000-0000360E0000}"/>
    <cellStyle name="Normal 140 2 5" xfId="4379" xr:uid="{00000000-0005-0000-0000-0000370E0000}"/>
    <cellStyle name="Normal 140 2 6" xfId="5870" xr:uid="{00000000-0005-0000-0000-0000380E0000}"/>
    <cellStyle name="Normal 140 3" xfId="2249" xr:uid="{00000000-0005-0000-0000-0000390E0000}"/>
    <cellStyle name="Normal 141" xfId="2250" xr:uid="{00000000-0005-0000-0000-00003A0E0000}"/>
    <cellStyle name="Normal 141 2" xfId="2251" xr:uid="{00000000-0005-0000-0000-00003B0E0000}"/>
    <cellStyle name="Normal 141 2 2" xfId="2252" xr:uid="{00000000-0005-0000-0000-00003C0E0000}"/>
    <cellStyle name="Normal 141 2 2 2" xfId="4384" xr:uid="{00000000-0005-0000-0000-00003D0E0000}"/>
    <cellStyle name="Normal 141 2 2 3" xfId="5874" xr:uid="{00000000-0005-0000-0000-00003E0E0000}"/>
    <cellStyle name="Normal 141 2 3" xfId="2253" xr:uid="{00000000-0005-0000-0000-00003F0E0000}"/>
    <cellStyle name="Normal 141 2 3 2" xfId="4385" xr:uid="{00000000-0005-0000-0000-0000400E0000}"/>
    <cellStyle name="Normal 141 2 3 3" xfId="5875" xr:uid="{00000000-0005-0000-0000-0000410E0000}"/>
    <cellStyle name="Normal 141 2 4" xfId="2254" xr:uid="{00000000-0005-0000-0000-0000420E0000}"/>
    <cellStyle name="Normal 141 2 4 2" xfId="4386" xr:uid="{00000000-0005-0000-0000-0000430E0000}"/>
    <cellStyle name="Normal 141 2 5" xfId="4383" xr:uid="{00000000-0005-0000-0000-0000440E0000}"/>
    <cellStyle name="Normal 141 2 6" xfId="5873" xr:uid="{00000000-0005-0000-0000-0000450E0000}"/>
    <cellStyle name="Normal 141 3" xfId="2255" xr:uid="{00000000-0005-0000-0000-0000460E0000}"/>
    <cellStyle name="Normal 142" xfId="2256" xr:uid="{00000000-0005-0000-0000-0000470E0000}"/>
    <cellStyle name="Normal 142 2" xfId="2257" xr:uid="{00000000-0005-0000-0000-0000480E0000}"/>
    <cellStyle name="Normal 142 2 2" xfId="2258" xr:uid="{00000000-0005-0000-0000-0000490E0000}"/>
    <cellStyle name="Normal 142 2 2 2" xfId="4388" xr:uid="{00000000-0005-0000-0000-00004A0E0000}"/>
    <cellStyle name="Normal 142 2 2 3" xfId="5877" xr:uid="{00000000-0005-0000-0000-00004B0E0000}"/>
    <cellStyle name="Normal 142 2 3" xfId="2259" xr:uid="{00000000-0005-0000-0000-00004C0E0000}"/>
    <cellStyle name="Normal 142 2 3 2" xfId="4389" xr:uid="{00000000-0005-0000-0000-00004D0E0000}"/>
    <cellStyle name="Normal 142 2 3 3" xfId="5878" xr:uid="{00000000-0005-0000-0000-00004E0E0000}"/>
    <cellStyle name="Normal 142 2 4" xfId="2260" xr:uid="{00000000-0005-0000-0000-00004F0E0000}"/>
    <cellStyle name="Normal 142 2 4 2" xfId="4390" xr:uid="{00000000-0005-0000-0000-0000500E0000}"/>
    <cellStyle name="Normal 142 2 5" xfId="4387" xr:uid="{00000000-0005-0000-0000-0000510E0000}"/>
    <cellStyle name="Normal 142 2 6" xfId="5876" xr:uid="{00000000-0005-0000-0000-0000520E0000}"/>
    <cellStyle name="Normal 142 3" xfId="2261" xr:uid="{00000000-0005-0000-0000-0000530E0000}"/>
    <cellStyle name="Normal 143" xfId="2262" xr:uid="{00000000-0005-0000-0000-0000540E0000}"/>
    <cellStyle name="Normal 143 2" xfId="2263" xr:uid="{00000000-0005-0000-0000-0000550E0000}"/>
    <cellStyle name="Normal 143 2 2" xfId="2264" xr:uid="{00000000-0005-0000-0000-0000560E0000}"/>
    <cellStyle name="Normal 143 2 2 2" xfId="4392" xr:uid="{00000000-0005-0000-0000-0000570E0000}"/>
    <cellStyle name="Normal 143 2 2 3" xfId="5880" xr:uid="{00000000-0005-0000-0000-0000580E0000}"/>
    <cellStyle name="Normal 143 2 3" xfId="2265" xr:uid="{00000000-0005-0000-0000-0000590E0000}"/>
    <cellStyle name="Normal 143 2 3 2" xfId="4393" xr:uid="{00000000-0005-0000-0000-00005A0E0000}"/>
    <cellStyle name="Normal 143 2 3 3" xfId="5881" xr:uid="{00000000-0005-0000-0000-00005B0E0000}"/>
    <cellStyle name="Normal 143 2 4" xfId="2266" xr:uid="{00000000-0005-0000-0000-00005C0E0000}"/>
    <cellStyle name="Normal 143 2 4 2" xfId="4394" xr:uid="{00000000-0005-0000-0000-00005D0E0000}"/>
    <cellStyle name="Normal 143 2 5" xfId="4391" xr:uid="{00000000-0005-0000-0000-00005E0E0000}"/>
    <cellStyle name="Normal 143 2 6" xfId="5879" xr:uid="{00000000-0005-0000-0000-00005F0E0000}"/>
    <cellStyle name="Normal 143 3" xfId="2267" xr:uid="{00000000-0005-0000-0000-0000600E0000}"/>
    <cellStyle name="Normal 144" xfId="2268" xr:uid="{00000000-0005-0000-0000-0000610E0000}"/>
    <cellStyle name="Normal 144 2" xfId="2269" xr:uid="{00000000-0005-0000-0000-0000620E0000}"/>
    <cellStyle name="Normal 144 2 2" xfId="2270" xr:uid="{00000000-0005-0000-0000-0000630E0000}"/>
    <cellStyle name="Normal 144 2 2 2" xfId="4396" xr:uid="{00000000-0005-0000-0000-0000640E0000}"/>
    <cellStyle name="Normal 144 2 2 3" xfId="5883" xr:uid="{00000000-0005-0000-0000-0000650E0000}"/>
    <cellStyle name="Normal 144 2 3" xfId="2271" xr:uid="{00000000-0005-0000-0000-0000660E0000}"/>
    <cellStyle name="Normal 144 2 3 2" xfId="4397" xr:uid="{00000000-0005-0000-0000-0000670E0000}"/>
    <cellStyle name="Normal 144 2 3 3" xfId="5884" xr:uid="{00000000-0005-0000-0000-0000680E0000}"/>
    <cellStyle name="Normal 144 2 4" xfId="2272" xr:uid="{00000000-0005-0000-0000-0000690E0000}"/>
    <cellStyle name="Normal 144 2 4 2" xfId="4398" xr:uid="{00000000-0005-0000-0000-00006A0E0000}"/>
    <cellStyle name="Normal 144 2 5" xfId="4395" xr:uid="{00000000-0005-0000-0000-00006B0E0000}"/>
    <cellStyle name="Normal 144 2 6" xfId="5882" xr:uid="{00000000-0005-0000-0000-00006C0E0000}"/>
    <cellStyle name="Normal 144 3" xfId="2273" xr:uid="{00000000-0005-0000-0000-00006D0E0000}"/>
    <cellStyle name="Normal 145" xfId="2274" xr:uid="{00000000-0005-0000-0000-00006E0E0000}"/>
    <cellStyle name="Normal 145 2" xfId="2275" xr:uid="{00000000-0005-0000-0000-00006F0E0000}"/>
    <cellStyle name="Normal 145 2 2" xfId="2276" xr:uid="{00000000-0005-0000-0000-0000700E0000}"/>
    <cellStyle name="Normal 145 2 2 2" xfId="4400" xr:uid="{00000000-0005-0000-0000-0000710E0000}"/>
    <cellStyle name="Normal 145 2 2 3" xfId="5886" xr:uid="{00000000-0005-0000-0000-0000720E0000}"/>
    <cellStyle name="Normal 145 2 3" xfId="2277" xr:uid="{00000000-0005-0000-0000-0000730E0000}"/>
    <cellStyle name="Normal 145 2 3 2" xfId="4401" xr:uid="{00000000-0005-0000-0000-0000740E0000}"/>
    <cellStyle name="Normal 145 2 3 3" xfId="5887" xr:uid="{00000000-0005-0000-0000-0000750E0000}"/>
    <cellStyle name="Normal 145 2 4" xfId="2278" xr:uid="{00000000-0005-0000-0000-0000760E0000}"/>
    <cellStyle name="Normal 145 2 4 2" xfId="4402" xr:uid="{00000000-0005-0000-0000-0000770E0000}"/>
    <cellStyle name="Normal 145 2 5" xfId="4399" xr:uid="{00000000-0005-0000-0000-0000780E0000}"/>
    <cellStyle name="Normal 145 2 6" xfId="5885" xr:uid="{00000000-0005-0000-0000-0000790E0000}"/>
    <cellStyle name="Normal 145 3" xfId="2279" xr:uid="{00000000-0005-0000-0000-00007A0E0000}"/>
    <cellStyle name="Normal 146" xfId="2280" xr:uid="{00000000-0005-0000-0000-00007B0E0000}"/>
    <cellStyle name="Normal 146 2" xfId="2281" xr:uid="{00000000-0005-0000-0000-00007C0E0000}"/>
    <cellStyle name="Normal 146 2 2" xfId="4404" xr:uid="{00000000-0005-0000-0000-00007D0E0000}"/>
    <cellStyle name="Normal 146 2 3" xfId="5889" xr:uid="{00000000-0005-0000-0000-00007E0E0000}"/>
    <cellStyle name="Normal 146 3" xfId="4403" xr:uid="{00000000-0005-0000-0000-00007F0E0000}"/>
    <cellStyle name="Normal 146 4" xfId="5888" xr:uid="{00000000-0005-0000-0000-0000800E0000}"/>
    <cellStyle name="Normal 147" xfId="2282" xr:uid="{00000000-0005-0000-0000-0000810E0000}"/>
    <cellStyle name="Normal 147 2" xfId="2283" xr:uid="{00000000-0005-0000-0000-0000820E0000}"/>
    <cellStyle name="Normal 147 2 2" xfId="4406" xr:uid="{00000000-0005-0000-0000-0000830E0000}"/>
    <cellStyle name="Normal 147 2 3" xfId="5891" xr:uid="{00000000-0005-0000-0000-0000840E0000}"/>
    <cellStyle name="Normal 147 3" xfId="4405" xr:uid="{00000000-0005-0000-0000-0000850E0000}"/>
    <cellStyle name="Normal 147 4" xfId="5890" xr:uid="{00000000-0005-0000-0000-0000860E0000}"/>
    <cellStyle name="Normal 148" xfId="2284" xr:uid="{00000000-0005-0000-0000-0000870E0000}"/>
    <cellStyle name="Normal 148 2" xfId="2285" xr:uid="{00000000-0005-0000-0000-0000880E0000}"/>
    <cellStyle name="Normal 148 2 2" xfId="4408" xr:uid="{00000000-0005-0000-0000-0000890E0000}"/>
    <cellStyle name="Normal 148 2 3" xfId="5893" xr:uid="{00000000-0005-0000-0000-00008A0E0000}"/>
    <cellStyle name="Normal 148 3" xfId="4407" xr:uid="{00000000-0005-0000-0000-00008B0E0000}"/>
    <cellStyle name="Normal 148 4" xfId="5892" xr:uid="{00000000-0005-0000-0000-00008C0E0000}"/>
    <cellStyle name="Normal 149" xfId="2286" xr:uid="{00000000-0005-0000-0000-00008D0E0000}"/>
    <cellStyle name="Normal 149 2" xfId="2287" xr:uid="{00000000-0005-0000-0000-00008E0E0000}"/>
    <cellStyle name="Normal 149 2 2" xfId="4410" xr:uid="{00000000-0005-0000-0000-00008F0E0000}"/>
    <cellStyle name="Normal 149 2 3" xfId="5895" xr:uid="{00000000-0005-0000-0000-0000900E0000}"/>
    <cellStyle name="Normal 149 3" xfId="4409" xr:uid="{00000000-0005-0000-0000-0000910E0000}"/>
    <cellStyle name="Normal 149 4" xfId="5894" xr:uid="{00000000-0005-0000-0000-0000920E0000}"/>
    <cellStyle name="Normal 15" xfId="3897" xr:uid="{00000000-0005-0000-0000-0000930E0000}"/>
    <cellStyle name="Normal 15 2" xfId="2288" xr:uid="{00000000-0005-0000-0000-0000940E0000}"/>
    <cellStyle name="Normal 15 2 2" xfId="2289" xr:uid="{00000000-0005-0000-0000-0000950E0000}"/>
    <cellStyle name="Normal 15 2 3" xfId="2290" xr:uid="{00000000-0005-0000-0000-0000960E0000}"/>
    <cellStyle name="Normal 15 3" xfId="2291" xr:uid="{00000000-0005-0000-0000-0000970E0000}"/>
    <cellStyle name="Normal 150" xfId="2292" xr:uid="{00000000-0005-0000-0000-0000980E0000}"/>
    <cellStyle name="Normal 150 2" xfId="2293" xr:uid="{00000000-0005-0000-0000-0000990E0000}"/>
    <cellStyle name="Normal 150 2 2" xfId="4412" xr:uid="{00000000-0005-0000-0000-00009A0E0000}"/>
    <cellStyle name="Normal 150 2 3" xfId="5897" xr:uid="{00000000-0005-0000-0000-00009B0E0000}"/>
    <cellStyle name="Normal 150 3" xfId="4411" xr:uid="{00000000-0005-0000-0000-00009C0E0000}"/>
    <cellStyle name="Normal 150 4" xfId="5896" xr:uid="{00000000-0005-0000-0000-00009D0E0000}"/>
    <cellStyle name="Normal 151" xfId="2294" xr:uid="{00000000-0005-0000-0000-00009E0E0000}"/>
    <cellStyle name="Normal 151 2" xfId="2295" xr:uid="{00000000-0005-0000-0000-00009F0E0000}"/>
    <cellStyle name="Normal 151 2 2" xfId="4414" xr:uid="{00000000-0005-0000-0000-0000A00E0000}"/>
    <cellStyle name="Normal 151 2 3" xfId="5899" xr:uid="{00000000-0005-0000-0000-0000A10E0000}"/>
    <cellStyle name="Normal 151 3" xfId="4413" xr:uid="{00000000-0005-0000-0000-0000A20E0000}"/>
    <cellStyle name="Normal 151 4" xfId="5898" xr:uid="{00000000-0005-0000-0000-0000A30E0000}"/>
    <cellStyle name="Normal 152" xfId="2296" xr:uid="{00000000-0005-0000-0000-0000A40E0000}"/>
    <cellStyle name="Normal 152 2" xfId="2297" xr:uid="{00000000-0005-0000-0000-0000A50E0000}"/>
    <cellStyle name="Normal 152 2 2" xfId="4416" xr:uid="{00000000-0005-0000-0000-0000A60E0000}"/>
    <cellStyle name="Normal 152 2 3" xfId="5901" xr:uid="{00000000-0005-0000-0000-0000A70E0000}"/>
    <cellStyle name="Normal 152 3" xfId="4415" xr:uid="{00000000-0005-0000-0000-0000A80E0000}"/>
    <cellStyle name="Normal 152 4" xfId="5900" xr:uid="{00000000-0005-0000-0000-0000A90E0000}"/>
    <cellStyle name="Normal 153" xfId="2298" xr:uid="{00000000-0005-0000-0000-0000AA0E0000}"/>
    <cellStyle name="Normal 153 2" xfId="2299" xr:uid="{00000000-0005-0000-0000-0000AB0E0000}"/>
    <cellStyle name="Normal 153 2 2" xfId="4418" xr:uid="{00000000-0005-0000-0000-0000AC0E0000}"/>
    <cellStyle name="Normal 153 2 3" xfId="5903" xr:uid="{00000000-0005-0000-0000-0000AD0E0000}"/>
    <cellStyle name="Normal 153 3" xfId="4417" xr:uid="{00000000-0005-0000-0000-0000AE0E0000}"/>
    <cellStyle name="Normal 153 4" xfId="5902" xr:uid="{00000000-0005-0000-0000-0000AF0E0000}"/>
    <cellStyle name="Normal 154" xfId="2300" xr:uid="{00000000-0005-0000-0000-0000B00E0000}"/>
    <cellStyle name="Normal 154 2" xfId="2301" xr:uid="{00000000-0005-0000-0000-0000B10E0000}"/>
    <cellStyle name="Normal 154 2 2" xfId="4420" xr:uid="{00000000-0005-0000-0000-0000B20E0000}"/>
    <cellStyle name="Normal 154 2 3" xfId="5905" xr:uid="{00000000-0005-0000-0000-0000B30E0000}"/>
    <cellStyle name="Normal 154 3" xfId="4419" xr:uid="{00000000-0005-0000-0000-0000B40E0000}"/>
    <cellStyle name="Normal 154 4" xfId="5904" xr:uid="{00000000-0005-0000-0000-0000B50E0000}"/>
    <cellStyle name="Normal 155" xfId="2302" xr:uid="{00000000-0005-0000-0000-0000B60E0000}"/>
    <cellStyle name="Normal 155 2" xfId="2303" xr:uid="{00000000-0005-0000-0000-0000B70E0000}"/>
    <cellStyle name="Normal 155 2 2" xfId="4422" xr:uid="{00000000-0005-0000-0000-0000B80E0000}"/>
    <cellStyle name="Normal 155 2 3" xfId="5907" xr:uid="{00000000-0005-0000-0000-0000B90E0000}"/>
    <cellStyle name="Normal 155 3" xfId="4421" xr:uid="{00000000-0005-0000-0000-0000BA0E0000}"/>
    <cellStyle name="Normal 155 4" xfId="5906" xr:uid="{00000000-0005-0000-0000-0000BB0E0000}"/>
    <cellStyle name="Normal 156" xfId="2304" xr:uid="{00000000-0005-0000-0000-0000BC0E0000}"/>
    <cellStyle name="Normal 156 2" xfId="2305" xr:uid="{00000000-0005-0000-0000-0000BD0E0000}"/>
    <cellStyle name="Normal 157" xfId="2306" xr:uid="{00000000-0005-0000-0000-0000BE0E0000}"/>
    <cellStyle name="Normal 157 2" xfId="2307" xr:uid="{00000000-0005-0000-0000-0000BF0E0000}"/>
    <cellStyle name="Normal 158" xfId="2308" xr:uid="{00000000-0005-0000-0000-0000C00E0000}"/>
    <cellStyle name="Normal 158 2" xfId="2309" xr:uid="{00000000-0005-0000-0000-0000C10E0000}"/>
    <cellStyle name="Normal 159" xfId="2310" xr:uid="{00000000-0005-0000-0000-0000C20E0000}"/>
    <cellStyle name="Normal 159 2" xfId="2311" xr:uid="{00000000-0005-0000-0000-0000C30E0000}"/>
    <cellStyle name="Normal 159 2 2" xfId="4424" xr:uid="{00000000-0005-0000-0000-0000C40E0000}"/>
    <cellStyle name="Normal 159 2 3" xfId="5909" xr:uid="{00000000-0005-0000-0000-0000C50E0000}"/>
    <cellStyle name="Normal 159 3" xfId="4423" xr:uid="{00000000-0005-0000-0000-0000C60E0000}"/>
    <cellStyle name="Normal 159 4" xfId="5908" xr:uid="{00000000-0005-0000-0000-0000C70E0000}"/>
    <cellStyle name="Normal 16" xfId="3894" xr:uid="{00000000-0005-0000-0000-0000C80E0000}"/>
    <cellStyle name="Normal 16 2" xfId="2312" xr:uid="{00000000-0005-0000-0000-0000C90E0000}"/>
    <cellStyle name="Normal 16 2 2" xfId="2313" xr:uid="{00000000-0005-0000-0000-0000CA0E0000}"/>
    <cellStyle name="Normal 16 2 3" xfId="2314" xr:uid="{00000000-0005-0000-0000-0000CB0E0000}"/>
    <cellStyle name="Normal 16 2 3 2" xfId="2315" xr:uid="{00000000-0005-0000-0000-0000CC0E0000}"/>
    <cellStyle name="Normal 16 2 4" xfId="2316" xr:uid="{00000000-0005-0000-0000-0000CD0E0000}"/>
    <cellStyle name="Normal 16 2 5" xfId="2317" xr:uid="{00000000-0005-0000-0000-0000CE0E0000}"/>
    <cellStyle name="Normal 16 2 6" xfId="5910" xr:uid="{00000000-0005-0000-0000-0000CF0E0000}"/>
    <cellStyle name="Normal 16 3" xfId="2318" xr:uid="{00000000-0005-0000-0000-0000D00E0000}"/>
    <cellStyle name="Normal 16 3 2" xfId="5911" xr:uid="{00000000-0005-0000-0000-0000D10E0000}"/>
    <cellStyle name="Normal 160" xfId="2319" xr:uid="{00000000-0005-0000-0000-0000D20E0000}"/>
    <cellStyle name="Normal 160 2" xfId="2320" xr:uid="{00000000-0005-0000-0000-0000D30E0000}"/>
    <cellStyle name="Normal 160 2 2" xfId="4426" xr:uid="{00000000-0005-0000-0000-0000D40E0000}"/>
    <cellStyle name="Normal 160 2 3" xfId="5913" xr:uid="{00000000-0005-0000-0000-0000D50E0000}"/>
    <cellStyle name="Normal 160 3" xfId="4425" xr:uid="{00000000-0005-0000-0000-0000D60E0000}"/>
    <cellStyle name="Normal 160 4" xfId="5912" xr:uid="{00000000-0005-0000-0000-0000D70E0000}"/>
    <cellStyle name="Normal 161" xfId="2321" xr:uid="{00000000-0005-0000-0000-0000D80E0000}"/>
    <cellStyle name="Normal 161 2" xfId="2322" xr:uid="{00000000-0005-0000-0000-0000D90E0000}"/>
    <cellStyle name="Normal 161 2 2" xfId="4428" xr:uid="{00000000-0005-0000-0000-0000DA0E0000}"/>
    <cellStyle name="Normal 161 2 3" xfId="5915" xr:uid="{00000000-0005-0000-0000-0000DB0E0000}"/>
    <cellStyle name="Normal 161 3" xfId="4427" xr:uid="{00000000-0005-0000-0000-0000DC0E0000}"/>
    <cellStyle name="Normal 161 4" xfId="5914" xr:uid="{00000000-0005-0000-0000-0000DD0E0000}"/>
    <cellStyle name="Normal 162" xfId="2323" xr:uid="{00000000-0005-0000-0000-0000DE0E0000}"/>
    <cellStyle name="Normal 162 2" xfId="2324" xr:uid="{00000000-0005-0000-0000-0000DF0E0000}"/>
    <cellStyle name="Normal 162 2 2" xfId="4430" xr:uid="{00000000-0005-0000-0000-0000E00E0000}"/>
    <cellStyle name="Normal 162 2 3" xfId="5917" xr:uid="{00000000-0005-0000-0000-0000E10E0000}"/>
    <cellStyle name="Normal 162 3" xfId="4429" xr:uid="{00000000-0005-0000-0000-0000E20E0000}"/>
    <cellStyle name="Normal 162 4" xfId="5916" xr:uid="{00000000-0005-0000-0000-0000E30E0000}"/>
    <cellStyle name="Normal 163" xfId="2325" xr:uid="{00000000-0005-0000-0000-0000E40E0000}"/>
    <cellStyle name="Normal 163 2" xfId="2326" xr:uid="{00000000-0005-0000-0000-0000E50E0000}"/>
    <cellStyle name="Normal 163 2 2" xfId="4432" xr:uid="{00000000-0005-0000-0000-0000E60E0000}"/>
    <cellStyle name="Normal 163 2 3" xfId="5919" xr:uid="{00000000-0005-0000-0000-0000E70E0000}"/>
    <cellStyle name="Normal 163 3" xfId="4431" xr:uid="{00000000-0005-0000-0000-0000E80E0000}"/>
    <cellStyle name="Normal 163 4" xfId="5918" xr:uid="{00000000-0005-0000-0000-0000E90E0000}"/>
    <cellStyle name="Normal 164" xfId="2327" xr:uid="{00000000-0005-0000-0000-0000EA0E0000}"/>
    <cellStyle name="Normal 164 2" xfId="2328" xr:uid="{00000000-0005-0000-0000-0000EB0E0000}"/>
    <cellStyle name="Normal 164 2 2" xfId="4434" xr:uid="{00000000-0005-0000-0000-0000EC0E0000}"/>
    <cellStyle name="Normal 164 2 3" xfId="5921" xr:uid="{00000000-0005-0000-0000-0000ED0E0000}"/>
    <cellStyle name="Normal 164 3" xfId="4433" xr:uid="{00000000-0005-0000-0000-0000EE0E0000}"/>
    <cellStyle name="Normal 164 4" xfId="5920" xr:uid="{00000000-0005-0000-0000-0000EF0E0000}"/>
    <cellStyle name="Normal 165" xfId="2329" xr:uid="{00000000-0005-0000-0000-0000F00E0000}"/>
    <cellStyle name="Normal 165 2" xfId="2330" xr:uid="{00000000-0005-0000-0000-0000F10E0000}"/>
    <cellStyle name="Normal 165 2 2" xfId="4436" xr:uid="{00000000-0005-0000-0000-0000F20E0000}"/>
    <cellStyle name="Normal 165 2 3" xfId="5923" xr:uid="{00000000-0005-0000-0000-0000F30E0000}"/>
    <cellStyle name="Normal 165 3" xfId="4435" xr:uid="{00000000-0005-0000-0000-0000F40E0000}"/>
    <cellStyle name="Normal 165 4" xfId="5922" xr:uid="{00000000-0005-0000-0000-0000F50E0000}"/>
    <cellStyle name="Normal 166" xfId="2331" xr:uid="{00000000-0005-0000-0000-0000F60E0000}"/>
    <cellStyle name="Normal 166 2" xfId="2332" xr:uid="{00000000-0005-0000-0000-0000F70E0000}"/>
    <cellStyle name="Normal 166 2 2" xfId="4438" xr:uid="{00000000-0005-0000-0000-0000F80E0000}"/>
    <cellStyle name="Normal 166 2 3" xfId="5925" xr:uid="{00000000-0005-0000-0000-0000F90E0000}"/>
    <cellStyle name="Normal 166 3" xfId="4437" xr:uid="{00000000-0005-0000-0000-0000FA0E0000}"/>
    <cellStyle name="Normal 166 4" xfId="5924" xr:uid="{00000000-0005-0000-0000-0000FB0E0000}"/>
    <cellStyle name="Normal 167" xfId="2333" xr:uid="{00000000-0005-0000-0000-0000FC0E0000}"/>
    <cellStyle name="Normal 167 2" xfId="2334" xr:uid="{00000000-0005-0000-0000-0000FD0E0000}"/>
    <cellStyle name="Normal 167 2 2" xfId="4440" xr:uid="{00000000-0005-0000-0000-0000FE0E0000}"/>
    <cellStyle name="Normal 167 2 3" xfId="5927" xr:uid="{00000000-0005-0000-0000-0000FF0E0000}"/>
    <cellStyle name="Normal 167 3" xfId="4439" xr:uid="{00000000-0005-0000-0000-0000000F0000}"/>
    <cellStyle name="Normal 167 4" xfId="5926" xr:uid="{00000000-0005-0000-0000-0000010F0000}"/>
    <cellStyle name="Normal 168" xfId="2335" xr:uid="{00000000-0005-0000-0000-0000020F0000}"/>
    <cellStyle name="Normal 168 2" xfId="2336" xr:uid="{00000000-0005-0000-0000-0000030F0000}"/>
    <cellStyle name="Normal 168 2 2" xfId="4442" xr:uid="{00000000-0005-0000-0000-0000040F0000}"/>
    <cellStyle name="Normal 168 2 3" xfId="5929" xr:uid="{00000000-0005-0000-0000-0000050F0000}"/>
    <cellStyle name="Normal 168 3" xfId="4441" xr:uid="{00000000-0005-0000-0000-0000060F0000}"/>
    <cellStyle name="Normal 168 4" xfId="5928" xr:uid="{00000000-0005-0000-0000-0000070F0000}"/>
    <cellStyle name="Normal 169" xfId="2337" xr:uid="{00000000-0005-0000-0000-0000080F0000}"/>
    <cellStyle name="Normal 169 2" xfId="2338" xr:uid="{00000000-0005-0000-0000-0000090F0000}"/>
    <cellStyle name="Normal 169 2 2" xfId="4444" xr:uid="{00000000-0005-0000-0000-00000A0F0000}"/>
    <cellStyle name="Normal 169 2 3" xfId="5931" xr:uid="{00000000-0005-0000-0000-00000B0F0000}"/>
    <cellStyle name="Normal 169 3" xfId="4443" xr:uid="{00000000-0005-0000-0000-00000C0F0000}"/>
    <cellStyle name="Normal 169 4" xfId="5930" xr:uid="{00000000-0005-0000-0000-00000D0F0000}"/>
    <cellStyle name="Normal 17" xfId="3896" xr:uid="{00000000-0005-0000-0000-00000E0F0000}"/>
    <cellStyle name="Normal 17 2" xfId="2339" xr:uid="{00000000-0005-0000-0000-00000F0F0000}"/>
    <cellStyle name="Normal 17 2 2" xfId="2340" xr:uid="{00000000-0005-0000-0000-0000100F0000}"/>
    <cellStyle name="Normal 17 3" xfId="2341" xr:uid="{00000000-0005-0000-0000-0000110F0000}"/>
    <cellStyle name="Normal 17 3 2" xfId="2342" xr:uid="{00000000-0005-0000-0000-0000120F0000}"/>
    <cellStyle name="Normal 17 4" xfId="2343" xr:uid="{00000000-0005-0000-0000-0000130F0000}"/>
    <cellStyle name="Normal 17 4 2" xfId="2344" xr:uid="{00000000-0005-0000-0000-0000140F0000}"/>
    <cellStyle name="Normal 17 4 3" xfId="2345" xr:uid="{00000000-0005-0000-0000-0000150F0000}"/>
    <cellStyle name="Normal 17 5" xfId="2346" xr:uid="{00000000-0005-0000-0000-0000160F0000}"/>
    <cellStyle name="Normal 170" xfId="2347" xr:uid="{00000000-0005-0000-0000-0000170F0000}"/>
    <cellStyle name="Normal 170 2" xfId="2348" xr:uid="{00000000-0005-0000-0000-0000180F0000}"/>
    <cellStyle name="Normal 170 2 2" xfId="4446" xr:uid="{00000000-0005-0000-0000-0000190F0000}"/>
    <cellStyle name="Normal 170 2 3" xfId="5933" xr:uid="{00000000-0005-0000-0000-00001A0F0000}"/>
    <cellStyle name="Normal 170 3" xfId="4445" xr:uid="{00000000-0005-0000-0000-00001B0F0000}"/>
    <cellStyle name="Normal 170 4" xfId="5932" xr:uid="{00000000-0005-0000-0000-00001C0F0000}"/>
    <cellStyle name="Normal 171" xfId="2349" xr:uid="{00000000-0005-0000-0000-00001D0F0000}"/>
    <cellStyle name="Normal 171 2" xfId="2350" xr:uid="{00000000-0005-0000-0000-00001E0F0000}"/>
    <cellStyle name="Normal 171 2 2" xfId="4448" xr:uid="{00000000-0005-0000-0000-00001F0F0000}"/>
    <cellStyle name="Normal 171 2 3" xfId="5935" xr:uid="{00000000-0005-0000-0000-0000200F0000}"/>
    <cellStyle name="Normal 171 3" xfId="4447" xr:uid="{00000000-0005-0000-0000-0000210F0000}"/>
    <cellStyle name="Normal 171 4" xfId="5934" xr:uid="{00000000-0005-0000-0000-0000220F0000}"/>
    <cellStyle name="Normal 172" xfId="2351" xr:uid="{00000000-0005-0000-0000-0000230F0000}"/>
    <cellStyle name="Normal 172 2" xfId="2352" xr:uid="{00000000-0005-0000-0000-0000240F0000}"/>
    <cellStyle name="Normal 172 2 2" xfId="4450" xr:uid="{00000000-0005-0000-0000-0000250F0000}"/>
    <cellStyle name="Normal 172 2 3" xfId="5937" xr:uid="{00000000-0005-0000-0000-0000260F0000}"/>
    <cellStyle name="Normal 172 3" xfId="4449" xr:uid="{00000000-0005-0000-0000-0000270F0000}"/>
    <cellStyle name="Normal 172 4" xfId="5936" xr:uid="{00000000-0005-0000-0000-0000280F0000}"/>
    <cellStyle name="Normal 173" xfId="2353" xr:uid="{00000000-0005-0000-0000-0000290F0000}"/>
    <cellStyle name="Normal 173 2" xfId="2354" xr:uid="{00000000-0005-0000-0000-00002A0F0000}"/>
    <cellStyle name="Normal 173 2 2" xfId="4452" xr:uid="{00000000-0005-0000-0000-00002B0F0000}"/>
    <cellStyle name="Normal 173 2 3" xfId="5939" xr:uid="{00000000-0005-0000-0000-00002C0F0000}"/>
    <cellStyle name="Normal 173 3" xfId="4451" xr:uid="{00000000-0005-0000-0000-00002D0F0000}"/>
    <cellStyle name="Normal 173 4" xfId="5938" xr:uid="{00000000-0005-0000-0000-00002E0F0000}"/>
    <cellStyle name="Normal 174" xfId="2355" xr:uid="{00000000-0005-0000-0000-00002F0F0000}"/>
    <cellStyle name="Normal 174 2" xfId="2356" xr:uid="{00000000-0005-0000-0000-0000300F0000}"/>
    <cellStyle name="Normal 174 2 2" xfId="4454" xr:uid="{00000000-0005-0000-0000-0000310F0000}"/>
    <cellStyle name="Normal 174 2 3" xfId="5941" xr:uid="{00000000-0005-0000-0000-0000320F0000}"/>
    <cellStyle name="Normal 174 3" xfId="4453" xr:uid="{00000000-0005-0000-0000-0000330F0000}"/>
    <cellStyle name="Normal 174 4" xfId="5940" xr:uid="{00000000-0005-0000-0000-0000340F0000}"/>
    <cellStyle name="Normal 175" xfId="2357" xr:uid="{00000000-0005-0000-0000-0000350F0000}"/>
    <cellStyle name="Normal 175 2" xfId="2358" xr:uid="{00000000-0005-0000-0000-0000360F0000}"/>
    <cellStyle name="Normal 175 2 2" xfId="4456" xr:uid="{00000000-0005-0000-0000-0000370F0000}"/>
    <cellStyle name="Normal 175 2 3" xfId="5943" xr:uid="{00000000-0005-0000-0000-0000380F0000}"/>
    <cellStyle name="Normal 175 3" xfId="4455" xr:uid="{00000000-0005-0000-0000-0000390F0000}"/>
    <cellStyle name="Normal 175 4" xfId="5942" xr:uid="{00000000-0005-0000-0000-00003A0F0000}"/>
    <cellStyle name="Normal 176" xfId="2359" xr:uid="{00000000-0005-0000-0000-00003B0F0000}"/>
    <cellStyle name="Normal 176 2" xfId="2360" xr:uid="{00000000-0005-0000-0000-00003C0F0000}"/>
    <cellStyle name="Normal 176 2 2" xfId="4458" xr:uid="{00000000-0005-0000-0000-00003D0F0000}"/>
    <cellStyle name="Normal 176 2 3" xfId="5945" xr:uid="{00000000-0005-0000-0000-00003E0F0000}"/>
    <cellStyle name="Normal 176 3" xfId="4457" xr:uid="{00000000-0005-0000-0000-00003F0F0000}"/>
    <cellStyle name="Normal 176 4" xfId="5944" xr:uid="{00000000-0005-0000-0000-0000400F0000}"/>
    <cellStyle name="Normal 177" xfId="2361" xr:uid="{00000000-0005-0000-0000-0000410F0000}"/>
    <cellStyle name="Normal 177 2" xfId="2362" xr:uid="{00000000-0005-0000-0000-0000420F0000}"/>
    <cellStyle name="Normal 177 2 2" xfId="4460" xr:uid="{00000000-0005-0000-0000-0000430F0000}"/>
    <cellStyle name="Normal 177 2 3" xfId="5947" xr:uid="{00000000-0005-0000-0000-0000440F0000}"/>
    <cellStyle name="Normal 177 3" xfId="4459" xr:uid="{00000000-0005-0000-0000-0000450F0000}"/>
    <cellStyle name="Normal 177 4" xfId="5946" xr:uid="{00000000-0005-0000-0000-0000460F0000}"/>
    <cellStyle name="Normal 178" xfId="2363" xr:uid="{00000000-0005-0000-0000-0000470F0000}"/>
    <cellStyle name="Normal 178 2" xfId="2364" xr:uid="{00000000-0005-0000-0000-0000480F0000}"/>
    <cellStyle name="Normal 178 2 2" xfId="4462" xr:uid="{00000000-0005-0000-0000-0000490F0000}"/>
    <cellStyle name="Normal 178 2 3" xfId="5949" xr:uid="{00000000-0005-0000-0000-00004A0F0000}"/>
    <cellStyle name="Normal 178 3" xfId="4461" xr:uid="{00000000-0005-0000-0000-00004B0F0000}"/>
    <cellStyle name="Normal 178 4" xfId="5948" xr:uid="{00000000-0005-0000-0000-00004C0F0000}"/>
    <cellStyle name="Normal 179" xfId="2365" xr:uid="{00000000-0005-0000-0000-00004D0F0000}"/>
    <cellStyle name="Normal 179 2" xfId="2366" xr:uid="{00000000-0005-0000-0000-00004E0F0000}"/>
    <cellStyle name="Normal 179 2 2" xfId="4464" xr:uid="{00000000-0005-0000-0000-00004F0F0000}"/>
    <cellStyle name="Normal 179 2 3" xfId="5951" xr:uid="{00000000-0005-0000-0000-0000500F0000}"/>
    <cellStyle name="Normal 179 3" xfId="4463" xr:uid="{00000000-0005-0000-0000-0000510F0000}"/>
    <cellStyle name="Normal 179 4" xfId="5950" xr:uid="{00000000-0005-0000-0000-0000520F0000}"/>
    <cellStyle name="Normal 18" xfId="277" xr:uid="{00000000-0005-0000-0000-0000530F0000}"/>
    <cellStyle name="Normal 18 2" xfId="353" xr:uid="{00000000-0005-0000-0000-0000540F0000}"/>
    <cellStyle name="Normal 18 2 2" xfId="373" xr:uid="{00000000-0005-0000-0000-0000550F0000}"/>
    <cellStyle name="Normal 18 2 2 2" xfId="2368" xr:uid="{00000000-0005-0000-0000-0000560F0000}"/>
    <cellStyle name="Normal 18 2 3" xfId="2367" xr:uid="{00000000-0005-0000-0000-0000570F0000}"/>
    <cellStyle name="Normal 18 2 4" xfId="418" xr:uid="{00000000-0005-0000-0000-0000580F0000}"/>
    <cellStyle name="Normal 18 2 5" xfId="400" xr:uid="{00000000-0005-0000-0000-0000590F0000}"/>
    <cellStyle name="Normal 18 3" xfId="357" xr:uid="{00000000-0005-0000-0000-00005A0F0000}"/>
    <cellStyle name="Normal 18 3 2" xfId="2370" xr:uid="{00000000-0005-0000-0000-00005B0F0000}"/>
    <cellStyle name="Normal 18 3 3" xfId="2369" xr:uid="{00000000-0005-0000-0000-00005C0F0000}"/>
    <cellStyle name="Normal 18 4" xfId="2371" xr:uid="{00000000-0005-0000-0000-00005D0F0000}"/>
    <cellStyle name="Normal 18 4 2" xfId="2372" xr:uid="{00000000-0005-0000-0000-00005E0F0000}"/>
    <cellStyle name="Normal 18 4 3" xfId="2373" xr:uid="{00000000-0005-0000-0000-00005F0F0000}"/>
    <cellStyle name="Normal 18 5" xfId="2374" xr:uid="{00000000-0005-0000-0000-0000600F0000}"/>
    <cellStyle name="Normal 18 6" xfId="402" xr:uid="{00000000-0005-0000-0000-0000610F0000}"/>
    <cellStyle name="Normal 18 7" xfId="382" xr:uid="{00000000-0005-0000-0000-0000620F0000}"/>
    <cellStyle name="Normal 18 8" xfId="3899" xr:uid="{00000000-0005-0000-0000-0000630F0000}"/>
    <cellStyle name="Normal 18 9" xfId="378" xr:uid="{00000000-0005-0000-0000-0000640F0000}"/>
    <cellStyle name="Normal 180" xfId="2375" xr:uid="{00000000-0005-0000-0000-0000650F0000}"/>
    <cellStyle name="Normal 180 2" xfId="2376" xr:uid="{00000000-0005-0000-0000-0000660F0000}"/>
    <cellStyle name="Normal 180 2 2" xfId="2377" xr:uid="{00000000-0005-0000-0000-0000670F0000}"/>
    <cellStyle name="Normal 180 2 3" xfId="2378" xr:uid="{00000000-0005-0000-0000-0000680F0000}"/>
    <cellStyle name="Normal 180 3" xfId="2379" xr:uid="{00000000-0005-0000-0000-0000690F0000}"/>
    <cellStyle name="Normal 181" xfId="2380" xr:uid="{00000000-0005-0000-0000-00006A0F0000}"/>
    <cellStyle name="Normal 181 2" xfId="2381" xr:uid="{00000000-0005-0000-0000-00006B0F0000}"/>
    <cellStyle name="Normal 182" xfId="2382" xr:uid="{00000000-0005-0000-0000-00006C0F0000}"/>
    <cellStyle name="Normal 182 2" xfId="2383" xr:uid="{00000000-0005-0000-0000-00006D0F0000}"/>
    <cellStyle name="Normal 182 3" xfId="2384" xr:uid="{00000000-0005-0000-0000-00006E0F0000}"/>
    <cellStyle name="Normal 182 3 2" xfId="2385" xr:uid="{00000000-0005-0000-0000-00006F0F0000}"/>
    <cellStyle name="Normal 182 3 3" xfId="2386" xr:uid="{00000000-0005-0000-0000-0000700F0000}"/>
    <cellStyle name="Normal 182 3 3 2" xfId="4466" xr:uid="{00000000-0005-0000-0000-0000710F0000}"/>
    <cellStyle name="Normal 182 3 3 3" xfId="5952" xr:uid="{00000000-0005-0000-0000-0000720F0000}"/>
    <cellStyle name="Normal 182 4" xfId="4465" xr:uid="{00000000-0005-0000-0000-0000730F0000}"/>
    <cellStyle name="Normal 183" xfId="2387" xr:uid="{00000000-0005-0000-0000-0000740F0000}"/>
    <cellStyle name="Normal 183 2" xfId="2388" xr:uid="{00000000-0005-0000-0000-0000750F0000}"/>
    <cellStyle name="Normal 183 3" xfId="2389" xr:uid="{00000000-0005-0000-0000-0000760F0000}"/>
    <cellStyle name="Normal 183 4" xfId="2390" xr:uid="{00000000-0005-0000-0000-0000770F0000}"/>
    <cellStyle name="Normal 183 4 2" xfId="4467" xr:uid="{00000000-0005-0000-0000-0000780F0000}"/>
    <cellStyle name="Normal 183 4 3" xfId="5953" xr:uid="{00000000-0005-0000-0000-0000790F0000}"/>
    <cellStyle name="Normal 183 5" xfId="2391" xr:uid="{00000000-0005-0000-0000-00007A0F0000}"/>
    <cellStyle name="Normal 183 6" xfId="2392" xr:uid="{00000000-0005-0000-0000-00007B0F0000}"/>
    <cellStyle name="Normal 183 7" xfId="2393" xr:uid="{00000000-0005-0000-0000-00007C0F0000}"/>
    <cellStyle name="Normal 183 8" xfId="2394" xr:uid="{00000000-0005-0000-0000-00007D0F0000}"/>
    <cellStyle name="Normal 183 8 2" xfId="4468" xr:uid="{00000000-0005-0000-0000-00007E0F0000}"/>
    <cellStyle name="Normal 184" xfId="2395" xr:uid="{00000000-0005-0000-0000-00007F0F0000}"/>
    <cellStyle name="Normal 184 2" xfId="2396" xr:uid="{00000000-0005-0000-0000-0000800F0000}"/>
    <cellStyle name="Normal 184 3" xfId="2397" xr:uid="{00000000-0005-0000-0000-0000810F0000}"/>
    <cellStyle name="Normal 184 4" xfId="2398" xr:uid="{00000000-0005-0000-0000-0000820F0000}"/>
    <cellStyle name="Normal 184 4 2" xfId="4469" xr:uid="{00000000-0005-0000-0000-0000830F0000}"/>
    <cellStyle name="Normal 184 4 3" xfId="5954" xr:uid="{00000000-0005-0000-0000-0000840F0000}"/>
    <cellStyle name="Normal 184 5" xfId="2399" xr:uid="{00000000-0005-0000-0000-0000850F0000}"/>
    <cellStyle name="Normal 184 6" xfId="2400" xr:uid="{00000000-0005-0000-0000-0000860F0000}"/>
    <cellStyle name="Normal 184 7" xfId="2401" xr:uid="{00000000-0005-0000-0000-0000870F0000}"/>
    <cellStyle name="Normal 184 8" xfId="2402" xr:uid="{00000000-0005-0000-0000-0000880F0000}"/>
    <cellStyle name="Normal 184 8 2" xfId="4470" xr:uid="{00000000-0005-0000-0000-0000890F0000}"/>
    <cellStyle name="Normal 185" xfId="2403" xr:uid="{00000000-0005-0000-0000-00008A0F0000}"/>
    <cellStyle name="Normal 185 2" xfId="2404" xr:uid="{00000000-0005-0000-0000-00008B0F0000}"/>
    <cellStyle name="Normal 185 3" xfId="2405" xr:uid="{00000000-0005-0000-0000-00008C0F0000}"/>
    <cellStyle name="Normal 185 4" xfId="2406" xr:uid="{00000000-0005-0000-0000-00008D0F0000}"/>
    <cellStyle name="Normal 185 5" xfId="2407" xr:uid="{00000000-0005-0000-0000-00008E0F0000}"/>
    <cellStyle name="Normal 186" xfId="2408" xr:uid="{00000000-0005-0000-0000-00008F0F0000}"/>
    <cellStyle name="Normal 186 2" xfId="2409" xr:uid="{00000000-0005-0000-0000-0000900F0000}"/>
    <cellStyle name="Normal 186 3" xfId="2410" xr:uid="{00000000-0005-0000-0000-0000910F0000}"/>
    <cellStyle name="Normal 186 4" xfId="2411" xr:uid="{00000000-0005-0000-0000-0000920F0000}"/>
    <cellStyle name="Normal 186 5" xfId="2412" xr:uid="{00000000-0005-0000-0000-0000930F0000}"/>
    <cellStyle name="Normal 187" xfId="2413" xr:uid="{00000000-0005-0000-0000-0000940F0000}"/>
    <cellStyle name="Normal 187 2" xfId="2414" xr:uid="{00000000-0005-0000-0000-0000950F0000}"/>
    <cellStyle name="Normal 187 3" xfId="2415" xr:uid="{00000000-0005-0000-0000-0000960F0000}"/>
    <cellStyle name="Normal 187 4" xfId="2416" xr:uid="{00000000-0005-0000-0000-0000970F0000}"/>
    <cellStyle name="Normal 187 5" xfId="2417" xr:uid="{00000000-0005-0000-0000-0000980F0000}"/>
    <cellStyle name="Normal 188" xfId="2418" xr:uid="{00000000-0005-0000-0000-0000990F0000}"/>
    <cellStyle name="Normal 188 2" xfId="2419" xr:uid="{00000000-0005-0000-0000-00009A0F0000}"/>
    <cellStyle name="Normal 188 3" xfId="2420" xr:uid="{00000000-0005-0000-0000-00009B0F0000}"/>
    <cellStyle name="Normal 188 4" xfId="2421" xr:uid="{00000000-0005-0000-0000-00009C0F0000}"/>
    <cellStyle name="Normal 188 5" xfId="2422" xr:uid="{00000000-0005-0000-0000-00009D0F0000}"/>
    <cellStyle name="Normal 189" xfId="2423" xr:uid="{00000000-0005-0000-0000-00009E0F0000}"/>
    <cellStyle name="Normal 189 2" xfId="2424" xr:uid="{00000000-0005-0000-0000-00009F0F0000}"/>
    <cellStyle name="Normal 189 3" xfId="2425" xr:uid="{00000000-0005-0000-0000-0000A00F0000}"/>
    <cellStyle name="Normal 189 4" xfId="2426" xr:uid="{00000000-0005-0000-0000-0000A10F0000}"/>
    <cellStyle name="Normal 189 5" xfId="2427" xr:uid="{00000000-0005-0000-0000-0000A20F0000}"/>
    <cellStyle name="Normal 19" xfId="3895" xr:uid="{00000000-0005-0000-0000-0000A30F0000}"/>
    <cellStyle name="Normal 19 2" xfId="2428" xr:uid="{00000000-0005-0000-0000-0000A40F0000}"/>
    <cellStyle name="Normal 19 2 2" xfId="2429" xr:uid="{00000000-0005-0000-0000-0000A50F0000}"/>
    <cellStyle name="Normal 19 3" xfId="2430" xr:uid="{00000000-0005-0000-0000-0000A60F0000}"/>
    <cellStyle name="Normal 19 3 2" xfId="2431" xr:uid="{00000000-0005-0000-0000-0000A70F0000}"/>
    <cellStyle name="Normal 19 4" xfId="2432" xr:uid="{00000000-0005-0000-0000-0000A80F0000}"/>
    <cellStyle name="Normal 19 4 2" xfId="2433" xr:uid="{00000000-0005-0000-0000-0000A90F0000}"/>
    <cellStyle name="Normal 19 4 3" xfId="2434" xr:uid="{00000000-0005-0000-0000-0000AA0F0000}"/>
    <cellStyle name="Normal 19 5" xfId="2435" xr:uid="{00000000-0005-0000-0000-0000AB0F0000}"/>
    <cellStyle name="Normal 190" xfId="2436" xr:uid="{00000000-0005-0000-0000-0000AC0F0000}"/>
    <cellStyle name="Normal 190 2" xfId="2437" xr:uid="{00000000-0005-0000-0000-0000AD0F0000}"/>
    <cellStyle name="Normal 190 3" xfId="2438" xr:uid="{00000000-0005-0000-0000-0000AE0F0000}"/>
    <cellStyle name="Normal 190 4" xfId="2439" xr:uid="{00000000-0005-0000-0000-0000AF0F0000}"/>
    <cellStyle name="Normal 190 5" xfId="2440" xr:uid="{00000000-0005-0000-0000-0000B00F0000}"/>
    <cellStyle name="Normal 191" xfId="2441" xr:uid="{00000000-0005-0000-0000-0000B10F0000}"/>
    <cellStyle name="Normal 191 2" xfId="2442" xr:uid="{00000000-0005-0000-0000-0000B20F0000}"/>
    <cellStyle name="Normal 191 3" xfId="2443" xr:uid="{00000000-0005-0000-0000-0000B30F0000}"/>
    <cellStyle name="Normal 191 4" xfId="2444" xr:uid="{00000000-0005-0000-0000-0000B40F0000}"/>
    <cellStyle name="Normal 191 5" xfId="2445" xr:uid="{00000000-0005-0000-0000-0000B50F0000}"/>
    <cellStyle name="Normal 192" xfId="2446" xr:uid="{00000000-0005-0000-0000-0000B60F0000}"/>
    <cellStyle name="Normal 192 2" xfId="2447" xr:uid="{00000000-0005-0000-0000-0000B70F0000}"/>
    <cellStyle name="Normal 192 3" xfId="2448" xr:uid="{00000000-0005-0000-0000-0000B80F0000}"/>
    <cellStyle name="Normal 192 4" xfId="2449" xr:uid="{00000000-0005-0000-0000-0000B90F0000}"/>
    <cellStyle name="Normal 192 5" xfId="2450" xr:uid="{00000000-0005-0000-0000-0000BA0F0000}"/>
    <cellStyle name="Normal 193" xfId="2451" xr:uid="{00000000-0005-0000-0000-0000BB0F0000}"/>
    <cellStyle name="Normal 193 2" xfId="2452" xr:uid="{00000000-0005-0000-0000-0000BC0F0000}"/>
    <cellStyle name="Normal 193 3" xfId="2453" xr:uid="{00000000-0005-0000-0000-0000BD0F0000}"/>
    <cellStyle name="Normal 193 4" xfId="2454" xr:uid="{00000000-0005-0000-0000-0000BE0F0000}"/>
    <cellStyle name="Normal 193 5" xfId="2455" xr:uid="{00000000-0005-0000-0000-0000BF0F0000}"/>
    <cellStyle name="Normal 194" xfId="2456" xr:uid="{00000000-0005-0000-0000-0000C00F0000}"/>
    <cellStyle name="Normal 194 2" xfId="2457" xr:uid="{00000000-0005-0000-0000-0000C10F0000}"/>
    <cellStyle name="Normal 195" xfId="2458" xr:uid="{00000000-0005-0000-0000-0000C20F0000}"/>
    <cellStyle name="Normal 195 2" xfId="2459" xr:uid="{00000000-0005-0000-0000-0000C30F0000}"/>
    <cellStyle name="Normal 195 3" xfId="2460" xr:uid="{00000000-0005-0000-0000-0000C40F0000}"/>
    <cellStyle name="Normal 195 4" xfId="2461" xr:uid="{00000000-0005-0000-0000-0000C50F0000}"/>
    <cellStyle name="Normal 195 5" xfId="2462" xr:uid="{00000000-0005-0000-0000-0000C60F0000}"/>
    <cellStyle name="Normal 196" xfId="2463" xr:uid="{00000000-0005-0000-0000-0000C70F0000}"/>
    <cellStyle name="Normal 196 2" xfId="2464" xr:uid="{00000000-0005-0000-0000-0000C80F0000}"/>
    <cellStyle name="Normal 196 3" xfId="2465" xr:uid="{00000000-0005-0000-0000-0000C90F0000}"/>
    <cellStyle name="Normal 196 4" xfId="2466" xr:uid="{00000000-0005-0000-0000-0000CA0F0000}"/>
    <cellStyle name="Normal 196 5" xfId="2467" xr:uid="{00000000-0005-0000-0000-0000CB0F0000}"/>
    <cellStyle name="Normal 197" xfId="2468" xr:uid="{00000000-0005-0000-0000-0000CC0F0000}"/>
    <cellStyle name="Normal 197 2" xfId="2469" xr:uid="{00000000-0005-0000-0000-0000CD0F0000}"/>
    <cellStyle name="Normal 198" xfId="2470" xr:uid="{00000000-0005-0000-0000-0000CE0F0000}"/>
    <cellStyle name="Normal 198 2" xfId="2471" xr:uid="{00000000-0005-0000-0000-0000CF0F0000}"/>
    <cellStyle name="Normal 199" xfId="2472" xr:uid="{00000000-0005-0000-0000-0000D00F0000}"/>
    <cellStyle name="Normal 199 2" xfId="2473" xr:uid="{00000000-0005-0000-0000-0000D10F0000}"/>
    <cellStyle name="Normal 2" xfId="278" xr:uid="{00000000-0005-0000-0000-0000D20F0000}"/>
    <cellStyle name="Normal 2 10" xfId="355" xr:uid="{00000000-0005-0000-0000-0000D30F0000}"/>
    <cellStyle name="Normal 2 10 2" xfId="5955" xr:uid="{00000000-0005-0000-0000-0000D40F0000}"/>
    <cellStyle name="Normal 2 11" xfId="279" xr:uid="{00000000-0005-0000-0000-0000D50F0000}"/>
    <cellStyle name="Normal 2 11 2" xfId="356" xr:uid="{00000000-0005-0000-0000-0000D60F0000}"/>
    <cellStyle name="Normal 2 11 3" xfId="383" xr:uid="{00000000-0005-0000-0000-0000D70F0000}"/>
    <cellStyle name="Normal 2 12" xfId="280" xr:uid="{00000000-0005-0000-0000-0000D80F0000}"/>
    <cellStyle name="Normal 2 12 2" xfId="358" xr:uid="{00000000-0005-0000-0000-0000D90F0000}"/>
    <cellStyle name="Normal 2 12 3" xfId="403" xr:uid="{00000000-0005-0000-0000-0000DA0F0000}"/>
    <cellStyle name="Normal 2 12 4" xfId="384" xr:uid="{00000000-0005-0000-0000-0000DB0F0000}"/>
    <cellStyle name="Normal 2 2" xfId="281" xr:uid="{00000000-0005-0000-0000-0000DC0F0000}"/>
    <cellStyle name="Normal 2 2 2" xfId="359" xr:uid="{00000000-0005-0000-0000-0000DD0F0000}"/>
    <cellStyle name="Normal 2 2 2 2" xfId="2474" xr:uid="{00000000-0005-0000-0000-0000DE0F0000}"/>
    <cellStyle name="Normal 2 2 3" xfId="592" xr:uid="{00000000-0005-0000-0000-0000DF0F0000}"/>
    <cellStyle name="Normal 2 2 3 2" xfId="2475" xr:uid="{00000000-0005-0000-0000-0000E00F0000}"/>
    <cellStyle name="Normal 2 2 4" xfId="2476" xr:uid="{00000000-0005-0000-0000-0000E10F0000}"/>
    <cellStyle name="Normal 2 2 4 2" xfId="2477" xr:uid="{00000000-0005-0000-0000-0000E20F0000}"/>
    <cellStyle name="Normal 2 2 5" xfId="2478" xr:uid="{00000000-0005-0000-0000-0000E30F0000}"/>
    <cellStyle name="Normal 2 2 5 2" xfId="4471" xr:uid="{00000000-0005-0000-0000-0000E40F0000}"/>
    <cellStyle name="Normal 2 2 5 3" xfId="5956" xr:uid="{00000000-0005-0000-0000-0000E50F0000}"/>
    <cellStyle name="Normal 2 2 6" xfId="2479" xr:uid="{00000000-0005-0000-0000-0000E60F0000}"/>
    <cellStyle name="Normal 2 2 6 2" xfId="4472" xr:uid="{00000000-0005-0000-0000-0000E70F0000}"/>
    <cellStyle name="Normal 2 2 6 3" xfId="5957" xr:uid="{00000000-0005-0000-0000-0000E80F0000}"/>
    <cellStyle name="Normal 2 2 7" xfId="385" xr:uid="{00000000-0005-0000-0000-0000E90F0000}"/>
    <cellStyle name="Normal 2 3" xfId="593" xr:uid="{00000000-0005-0000-0000-0000EA0F0000}"/>
    <cellStyle name="Normal 2 3 10" xfId="6478" xr:uid="{00000000-0005-0000-0000-0000EB0F0000}"/>
    <cellStyle name="Normal 2 3 11" xfId="6483" xr:uid="{00000000-0005-0000-0000-0000EC0F0000}"/>
    <cellStyle name="Normal 2 3 2" xfId="2481" xr:uid="{00000000-0005-0000-0000-0000ED0F0000}"/>
    <cellStyle name="Normal 2 3 2 2" xfId="2482" xr:uid="{00000000-0005-0000-0000-0000EE0F0000}"/>
    <cellStyle name="Normal 2 3 2 2 2" xfId="5959" xr:uid="{00000000-0005-0000-0000-0000EF0F0000}"/>
    <cellStyle name="Normal 2 3 2 3" xfId="5958" xr:uid="{00000000-0005-0000-0000-0000F00F0000}"/>
    <cellStyle name="Normal 2 3 3" xfId="2483" xr:uid="{00000000-0005-0000-0000-0000F10F0000}"/>
    <cellStyle name="Normal 2 3 3 2" xfId="5960" xr:uid="{00000000-0005-0000-0000-0000F20F0000}"/>
    <cellStyle name="Normal 2 3 4" xfId="2484" xr:uid="{00000000-0005-0000-0000-0000F30F0000}"/>
    <cellStyle name="Normal 2 3 4 2" xfId="2485" xr:uid="{00000000-0005-0000-0000-0000F40F0000}"/>
    <cellStyle name="Normal 2 3 4 2 2" xfId="2486" xr:uid="{00000000-0005-0000-0000-0000F50F0000}"/>
    <cellStyle name="Normal 2 3 4 3" xfId="5961" xr:uid="{00000000-0005-0000-0000-0000F60F0000}"/>
    <cellStyle name="Normal 2 3 5" xfId="2487" xr:uid="{00000000-0005-0000-0000-0000F70F0000}"/>
    <cellStyle name="Normal 2 3 5 2" xfId="2488" xr:uid="{00000000-0005-0000-0000-0000F80F0000}"/>
    <cellStyle name="Normal 2 3 6" xfId="2489" xr:uid="{00000000-0005-0000-0000-0000F90F0000}"/>
    <cellStyle name="Normal 2 3 7" xfId="2490" xr:uid="{00000000-0005-0000-0000-0000FA0F0000}"/>
    <cellStyle name="Normal 2 3 8" xfId="2491" xr:uid="{00000000-0005-0000-0000-0000FB0F0000}"/>
    <cellStyle name="Normal 2 3 9" xfId="2480" xr:uid="{00000000-0005-0000-0000-0000FC0F0000}"/>
    <cellStyle name="Normal 2 4" xfId="594" xr:uid="{00000000-0005-0000-0000-0000FD0F0000}"/>
    <cellStyle name="Normal 2 4 2" xfId="2492" xr:uid="{00000000-0005-0000-0000-0000FE0F0000}"/>
    <cellStyle name="Normal 2 4 2 2" xfId="2493" xr:uid="{00000000-0005-0000-0000-0000FF0F0000}"/>
    <cellStyle name="Normal 2 4 3" xfId="2494" xr:uid="{00000000-0005-0000-0000-000000100000}"/>
    <cellStyle name="Normal 2 4 4" xfId="2495" xr:uid="{00000000-0005-0000-0000-000001100000}"/>
    <cellStyle name="Normal 2 4 5" xfId="2496" xr:uid="{00000000-0005-0000-0000-000002100000}"/>
    <cellStyle name="Normal 2 5" xfId="282" xr:uid="{00000000-0005-0000-0000-000003100000}"/>
    <cellStyle name="Normal 2 5 2" xfId="360" xr:uid="{00000000-0005-0000-0000-000004100000}"/>
    <cellStyle name="Normal 2 5 3" xfId="2497" xr:uid="{00000000-0005-0000-0000-000005100000}"/>
    <cellStyle name="Normal 2 5 4" xfId="404" xr:uid="{00000000-0005-0000-0000-000006100000}"/>
    <cellStyle name="Normal 2 5 5" xfId="386" xr:uid="{00000000-0005-0000-0000-000007100000}"/>
    <cellStyle name="Normal 2 6" xfId="283" xr:uid="{00000000-0005-0000-0000-000008100000}"/>
    <cellStyle name="Normal 2 6 2" xfId="361" xr:uid="{00000000-0005-0000-0000-000009100000}"/>
    <cellStyle name="Normal 2 6 3" xfId="405" xr:uid="{00000000-0005-0000-0000-00000A100000}"/>
    <cellStyle name="Normal 2 6 4" xfId="387" xr:uid="{00000000-0005-0000-0000-00000B100000}"/>
    <cellStyle name="Normal 2 7" xfId="284" xr:uid="{00000000-0005-0000-0000-00000C100000}"/>
    <cellStyle name="Normal 2 7 2" xfId="362" xr:uid="{00000000-0005-0000-0000-00000D100000}"/>
    <cellStyle name="Normal 2 7 3" xfId="406" xr:uid="{00000000-0005-0000-0000-00000E100000}"/>
    <cellStyle name="Normal 2 7 4" xfId="388" xr:uid="{00000000-0005-0000-0000-00000F100000}"/>
    <cellStyle name="Normal 2 8" xfId="285" xr:uid="{00000000-0005-0000-0000-000010100000}"/>
    <cellStyle name="Normal 2 8 2" xfId="363" xr:uid="{00000000-0005-0000-0000-000011100000}"/>
    <cellStyle name="Normal 2 8 3" xfId="407" xr:uid="{00000000-0005-0000-0000-000012100000}"/>
    <cellStyle name="Normal 2 8 4" xfId="389" xr:uid="{00000000-0005-0000-0000-000013100000}"/>
    <cellStyle name="Normal 2 9" xfId="286" xr:uid="{00000000-0005-0000-0000-000014100000}"/>
    <cellStyle name="Normal 2 9 2" xfId="364" xr:uid="{00000000-0005-0000-0000-000015100000}"/>
    <cellStyle name="Normal 2 9 3" xfId="408" xr:uid="{00000000-0005-0000-0000-000016100000}"/>
    <cellStyle name="Normal 2 9 4" xfId="390" xr:uid="{00000000-0005-0000-0000-000017100000}"/>
    <cellStyle name="Normal 20" xfId="3898" xr:uid="{00000000-0005-0000-0000-000018100000}"/>
    <cellStyle name="Normal 20 2" xfId="2498" xr:uid="{00000000-0005-0000-0000-000019100000}"/>
    <cellStyle name="Normal 20 2 2" xfId="2499" xr:uid="{00000000-0005-0000-0000-00001A100000}"/>
    <cellStyle name="Normal 20 3" xfId="2500" xr:uid="{00000000-0005-0000-0000-00001B100000}"/>
    <cellStyle name="Normal 20 3 2" xfId="2501" xr:uid="{00000000-0005-0000-0000-00001C100000}"/>
    <cellStyle name="Normal 20 4" xfId="2502" xr:uid="{00000000-0005-0000-0000-00001D100000}"/>
    <cellStyle name="Normal 20 4 2" xfId="2503" xr:uid="{00000000-0005-0000-0000-00001E100000}"/>
    <cellStyle name="Normal 20 4 3" xfId="2504" xr:uid="{00000000-0005-0000-0000-00001F100000}"/>
    <cellStyle name="Normal 20 5" xfId="2505" xr:uid="{00000000-0005-0000-0000-000020100000}"/>
    <cellStyle name="Normal 200" xfId="2506" xr:uid="{00000000-0005-0000-0000-000021100000}"/>
    <cellStyle name="Normal 200 2" xfId="2507" xr:uid="{00000000-0005-0000-0000-000022100000}"/>
    <cellStyle name="Normal 201" xfId="2508" xr:uid="{00000000-0005-0000-0000-000023100000}"/>
    <cellStyle name="Normal 201 2" xfId="2509" xr:uid="{00000000-0005-0000-0000-000024100000}"/>
    <cellStyle name="Normal 202" xfId="2510" xr:uid="{00000000-0005-0000-0000-000025100000}"/>
    <cellStyle name="Normal 202 2" xfId="2511" xr:uid="{00000000-0005-0000-0000-000026100000}"/>
    <cellStyle name="Normal 203" xfId="2512" xr:uid="{00000000-0005-0000-0000-000027100000}"/>
    <cellStyle name="Normal 203 2" xfId="2513" xr:uid="{00000000-0005-0000-0000-000028100000}"/>
    <cellStyle name="Normal 204" xfId="2514" xr:uid="{00000000-0005-0000-0000-000029100000}"/>
    <cellStyle name="Normal 204 2" xfId="2515" xr:uid="{00000000-0005-0000-0000-00002A100000}"/>
    <cellStyle name="Normal 205" xfId="2516" xr:uid="{00000000-0005-0000-0000-00002B100000}"/>
    <cellStyle name="Normal 205 2" xfId="2517" xr:uid="{00000000-0005-0000-0000-00002C100000}"/>
    <cellStyle name="Normal 206" xfId="2518" xr:uid="{00000000-0005-0000-0000-00002D100000}"/>
    <cellStyle name="Normal 206 2" xfId="2519" xr:uid="{00000000-0005-0000-0000-00002E100000}"/>
    <cellStyle name="Normal 207" xfId="2520" xr:uid="{00000000-0005-0000-0000-00002F100000}"/>
    <cellStyle name="Normal 207 2" xfId="2521" xr:uid="{00000000-0005-0000-0000-000030100000}"/>
    <cellStyle name="Normal 208" xfId="2522" xr:uid="{00000000-0005-0000-0000-000031100000}"/>
    <cellStyle name="Normal 208 2" xfId="2523" xr:uid="{00000000-0005-0000-0000-000032100000}"/>
    <cellStyle name="Normal 208 3" xfId="2524" xr:uid="{00000000-0005-0000-0000-000033100000}"/>
    <cellStyle name="Normal 208 4" xfId="4473" xr:uid="{00000000-0005-0000-0000-000034100000}"/>
    <cellStyle name="Normal 209" xfId="2525" xr:uid="{00000000-0005-0000-0000-000035100000}"/>
    <cellStyle name="Normal 209 2" xfId="2526" xr:uid="{00000000-0005-0000-0000-000036100000}"/>
    <cellStyle name="Normal 209 3" xfId="2527" xr:uid="{00000000-0005-0000-0000-000037100000}"/>
    <cellStyle name="Normal 209 4" xfId="2528" xr:uid="{00000000-0005-0000-0000-000038100000}"/>
    <cellStyle name="Normal 209 4 2" xfId="4474" xr:uid="{00000000-0005-0000-0000-000039100000}"/>
    <cellStyle name="Normal 21" xfId="4759" xr:uid="{00000000-0005-0000-0000-00003A100000}"/>
    <cellStyle name="Normal 21 2" xfId="2529" xr:uid="{00000000-0005-0000-0000-00003B100000}"/>
    <cellStyle name="Normal 21 2 2" xfId="2530" xr:uid="{00000000-0005-0000-0000-00003C100000}"/>
    <cellStyle name="Normal 21 3" xfId="2531" xr:uid="{00000000-0005-0000-0000-00003D100000}"/>
    <cellStyle name="Normal 21 3 2" xfId="2532" xr:uid="{00000000-0005-0000-0000-00003E100000}"/>
    <cellStyle name="Normal 21 4" xfId="2533" xr:uid="{00000000-0005-0000-0000-00003F100000}"/>
    <cellStyle name="Normal 21 4 2" xfId="2534" xr:uid="{00000000-0005-0000-0000-000040100000}"/>
    <cellStyle name="Normal 21 4 3" xfId="2535" xr:uid="{00000000-0005-0000-0000-000041100000}"/>
    <cellStyle name="Normal 21 5" xfId="2536" xr:uid="{00000000-0005-0000-0000-000042100000}"/>
    <cellStyle name="Normal 210" xfId="2537" xr:uid="{00000000-0005-0000-0000-000043100000}"/>
    <cellStyle name="Normal 210 2" xfId="2538" xr:uid="{00000000-0005-0000-0000-000044100000}"/>
    <cellStyle name="Normal 210 3" xfId="2539" xr:uid="{00000000-0005-0000-0000-000045100000}"/>
    <cellStyle name="Normal 210 4" xfId="4475" xr:uid="{00000000-0005-0000-0000-000046100000}"/>
    <cellStyle name="Normal 211" xfId="2540" xr:uid="{00000000-0005-0000-0000-000047100000}"/>
    <cellStyle name="Normal 211 2" xfId="2541" xr:uid="{00000000-0005-0000-0000-000048100000}"/>
    <cellStyle name="Normal 211 3" xfId="2542" xr:uid="{00000000-0005-0000-0000-000049100000}"/>
    <cellStyle name="Normal 211 4" xfId="4476" xr:uid="{00000000-0005-0000-0000-00004A100000}"/>
    <cellStyle name="Normal 212" xfId="2543" xr:uid="{00000000-0005-0000-0000-00004B100000}"/>
    <cellStyle name="Normal 212 2" xfId="2544" xr:uid="{00000000-0005-0000-0000-00004C100000}"/>
    <cellStyle name="Normal 212 3" xfId="4477" xr:uid="{00000000-0005-0000-0000-00004D100000}"/>
    <cellStyle name="Normal 213" xfId="2545" xr:uid="{00000000-0005-0000-0000-00004E100000}"/>
    <cellStyle name="Normal 213 2" xfId="2546" xr:uid="{00000000-0005-0000-0000-00004F100000}"/>
    <cellStyle name="Normal 213 3" xfId="2547" xr:uid="{00000000-0005-0000-0000-000050100000}"/>
    <cellStyle name="Normal 213 3 2" xfId="4479" xr:uid="{00000000-0005-0000-0000-000051100000}"/>
    <cellStyle name="Normal 213 4" xfId="2548" xr:uid="{00000000-0005-0000-0000-000052100000}"/>
    <cellStyle name="Normal 213 5" xfId="4478" xr:uid="{00000000-0005-0000-0000-000053100000}"/>
    <cellStyle name="Normal 214" xfId="2549" xr:uid="{00000000-0005-0000-0000-000054100000}"/>
    <cellStyle name="Normal 214 2" xfId="2550" xr:uid="{00000000-0005-0000-0000-000055100000}"/>
    <cellStyle name="Normal 214 3" xfId="4480" xr:uid="{00000000-0005-0000-0000-000056100000}"/>
    <cellStyle name="Normal 215" xfId="2551" xr:uid="{00000000-0005-0000-0000-000057100000}"/>
    <cellStyle name="Normal 215 2" xfId="2552" xr:uid="{00000000-0005-0000-0000-000058100000}"/>
    <cellStyle name="Normal 215 3" xfId="4481" xr:uid="{00000000-0005-0000-0000-000059100000}"/>
    <cellStyle name="Normal 216" xfId="2553" xr:uid="{00000000-0005-0000-0000-00005A100000}"/>
    <cellStyle name="Normal 216 2" xfId="2554" xr:uid="{00000000-0005-0000-0000-00005B100000}"/>
    <cellStyle name="Normal 216 2 2" xfId="4483" xr:uid="{00000000-0005-0000-0000-00005C100000}"/>
    <cellStyle name="Normal 216 3" xfId="2555" xr:uid="{00000000-0005-0000-0000-00005D100000}"/>
    <cellStyle name="Normal 216 4" xfId="4482" xr:uid="{00000000-0005-0000-0000-00005E100000}"/>
    <cellStyle name="Normal 217" xfId="2556" xr:uid="{00000000-0005-0000-0000-00005F100000}"/>
    <cellStyle name="Normal 217 2" xfId="2557" xr:uid="{00000000-0005-0000-0000-000060100000}"/>
    <cellStyle name="Normal 217 2 2" xfId="4485" xr:uid="{00000000-0005-0000-0000-000061100000}"/>
    <cellStyle name="Normal 217 3" xfId="2558" xr:uid="{00000000-0005-0000-0000-000062100000}"/>
    <cellStyle name="Normal 217 4" xfId="4484" xr:uid="{00000000-0005-0000-0000-000063100000}"/>
    <cellStyle name="Normal 218" xfId="2559" xr:uid="{00000000-0005-0000-0000-000064100000}"/>
    <cellStyle name="Normal 218 2" xfId="4486" xr:uid="{00000000-0005-0000-0000-000065100000}"/>
    <cellStyle name="Normal 218 3" xfId="5962" xr:uid="{00000000-0005-0000-0000-000066100000}"/>
    <cellStyle name="Normal 219" xfId="2560" xr:uid="{00000000-0005-0000-0000-000067100000}"/>
    <cellStyle name="Normal 219 2" xfId="4487" xr:uid="{00000000-0005-0000-0000-000068100000}"/>
    <cellStyle name="Normal 219 3" xfId="5963" xr:uid="{00000000-0005-0000-0000-000069100000}"/>
    <cellStyle name="Normal 22" xfId="4765" xr:uid="{00000000-0005-0000-0000-00006A100000}"/>
    <cellStyle name="Normal 22 2" xfId="2561" xr:uid="{00000000-0005-0000-0000-00006B100000}"/>
    <cellStyle name="Normal 22 2 2" xfId="2562" xr:uid="{00000000-0005-0000-0000-00006C100000}"/>
    <cellStyle name="Normal 22 2 2 2" xfId="5965" xr:uid="{00000000-0005-0000-0000-00006D100000}"/>
    <cellStyle name="Normal 22 2 3" xfId="5964" xr:uid="{00000000-0005-0000-0000-00006E100000}"/>
    <cellStyle name="Normal 22 3" xfId="2563" xr:uid="{00000000-0005-0000-0000-00006F100000}"/>
    <cellStyle name="Normal 22 3 2" xfId="2564" xr:uid="{00000000-0005-0000-0000-000070100000}"/>
    <cellStyle name="Normal 22 3 3" xfId="2565" xr:uid="{00000000-0005-0000-0000-000071100000}"/>
    <cellStyle name="Normal 22 3 4" xfId="5966" xr:uid="{00000000-0005-0000-0000-000072100000}"/>
    <cellStyle name="Normal 22 4" xfId="2566" xr:uid="{00000000-0005-0000-0000-000073100000}"/>
    <cellStyle name="Normal 22 4 2" xfId="5967" xr:uid="{00000000-0005-0000-0000-000074100000}"/>
    <cellStyle name="Normal 220" xfId="2567" xr:uid="{00000000-0005-0000-0000-000075100000}"/>
    <cellStyle name="Normal 220 2" xfId="4488" xr:uid="{00000000-0005-0000-0000-000076100000}"/>
    <cellStyle name="Normal 220 3" xfId="5968" xr:uid="{00000000-0005-0000-0000-000077100000}"/>
    <cellStyle name="Normal 221" xfId="2568" xr:uid="{00000000-0005-0000-0000-000078100000}"/>
    <cellStyle name="Normal 221 2" xfId="4489" xr:uid="{00000000-0005-0000-0000-000079100000}"/>
    <cellStyle name="Normal 221 3" xfId="5969" xr:uid="{00000000-0005-0000-0000-00007A100000}"/>
    <cellStyle name="Normal 222" xfId="2569" xr:uid="{00000000-0005-0000-0000-00007B100000}"/>
    <cellStyle name="Normal 222 2" xfId="2570" xr:uid="{00000000-0005-0000-0000-00007C100000}"/>
    <cellStyle name="Normal 222 3" xfId="4490" xr:uid="{00000000-0005-0000-0000-00007D100000}"/>
    <cellStyle name="Normal 223" xfId="2571" xr:uid="{00000000-0005-0000-0000-00007E100000}"/>
    <cellStyle name="Normal 224" xfId="2572" xr:uid="{00000000-0005-0000-0000-00007F100000}"/>
    <cellStyle name="Normal 224 2" xfId="2573" xr:uid="{00000000-0005-0000-0000-000080100000}"/>
    <cellStyle name="Normal 224 3" xfId="4491" xr:uid="{00000000-0005-0000-0000-000081100000}"/>
    <cellStyle name="Normal 225" xfId="2574" xr:uid="{00000000-0005-0000-0000-000082100000}"/>
    <cellStyle name="Normal 225 2" xfId="2575" xr:uid="{00000000-0005-0000-0000-000083100000}"/>
    <cellStyle name="Normal 225 3" xfId="4492" xr:uid="{00000000-0005-0000-0000-000084100000}"/>
    <cellStyle name="Normal 226" xfId="2576" xr:uid="{00000000-0005-0000-0000-000085100000}"/>
    <cellStyle name="Normal 226 2" xfId="2577" xr:uid="{00000000-0005-0000-0000-000086100000}"/>
    <cellStyle name="Normal 226 3" xfId="4493" xr:uid="{00000000-0005-0000-0000-000087100000}"/>
    <cellStyle name="Normal 227" xfId="2578" xr:uid="{00000000-0005-0000-0000-000088100000}"/>
    <cellStyle name="Normal 227 2" xfId="2579" xr:uid="{00000000-0005-0000-0000-000089100000}"/>
    <cellStyle name="Normal 227 3" xfId="4494" xr:uid="{00000000-0005-0000-0000-00008A100000}"/>
    <cellStyle name="Normal 228" xfId="2580" xr:uid="{00000000-0005-0000-0000-00008B100000}"/>
    <cellStyle name="Normal 228 2" xfId="4495" xr:uid="{00000000-0005-0000-0000-00008C100000}"/>
    <cellStyle name="Normal 228 3" xfId="5970" xr:uid="{00000000-0005-0000-0000-00008D100000}"/>
    <cellStyle name="Normal 229" xfId="2581" xr:uid="{00000000-0005-0000-0000-00008E100000}"/>
    <cellStyle name="Normal 229 2" xfId="4496" xr:uid="{00000000-0005-0000-0000-00008F100000}"/>
    <cellStyle name="Normal 229 3" xfId="5971" xr:uid="{00000000-0005-0000-0000-000090100000}"/>
    <cellStyle name="Normal 23" xfId="4758" xr:uid="{00000000-0005-0000-0000-000091100000}"/>
    <cellStyle name="Normal 23 2" xfId="2582" xr:uid="{00000000-0005-0000-0000-000092100000}"/>
    <cellStyle name="Normal 23 2 2" xfId="2583" xr:uid="{00000000-0005-0000-0000-000093100000}"/>
    <cellStyle name="Normal 23 2 2 2" xfId="5973" xr:uid="{00000000-0005-0000-0000-000094100000}"/>
    <cellStyle name="Normal 23 2 3" xfId="5972" xr:uid="{00000000-0005-0000-0000-000095100000}"/>
    <cellStyle name="Normal 23 3" xfId="2584" xr:uid="{00000000-0005-0000-0000-000096100000}"/>
    <cellStyle name="Normal 23 3 2" xfId="2585" xr:uid="{00000000-0005-0000-0000-000097100000}"/>
    <cellStyle name="Normal 23 3 3" xfId="2586" xr:uid="{00000000-0005-0000-0000-000098100000}"/>
    <cellStyle name="Normal 23 3 4" xfId="5974" xr:uid="{00000000-0005-0000-0000-000099100000}"/>
    <cellStyle name="Normal 23 4" xfId="2587" xr:uid="{00000000-0005-0000-0000-00009A100000}"/>
    <cellStyle name="Normal 23 4 2" xfId="5975" xr:uid="{00000000-0005-0000-0000-00009B100000}"/>
    <cellStyle name="Normal 230" xfId="2588" xr:uid="{00000000-0005-0000-0000-00009C100000}"/>
    <cellStyle name="Normal 230 2" xfId="4497" xr:uid="{00000000-0005-0000-0000-00009D100000}"/>
    <cellStyle name="Normal 230 3" xfId="5976" xr:uid="{00000000-0005-0000-0000-00009E100000}"/>
    <cellStyle name="Normal 231" xfId="2589" xr:uid="{00000000-0005-0000-0000-00009F100000}"/>
    <cellStyle name="Normal 231 2" xfId="4498" xr:uid="{00000000-0005-0000-0000-0000A0100000}"/>
    <cellStyle name="Normal 231 3" xfId="5977" xr:uid="{00000000-0005-0000-0000-0000A1100000}"/>
    <cellStyle name="Normal 232" xfId="2590" xr:uid="{00000000-0005-0000-0000-0000A2100000}"/>
    <cellStyle name="Normal 232 2" xfId="4499" xr:uid="{00000000-0005-0000-0000-0000A3100000}"/>
    <cellStyle name="Normal 232 3" xfId="5978" xr:uid="{00000000-0005-0000-0000-0000A4100000}"/>
    <cellStyle name="Normal 233" xfId="2591" xr:uid="{00000000-0005-0000-0000-0000A5100000}"/>
    <cellStyle name="Normal 233 2" xfId="2592" xr:uid="{00000000-0005-0000-0000-0000A6100000}"/>
    <cellStyle name="Normal 233 3" xfId="4500" xr:uid="{00000000-0005-0000-0000-0000A7100000}"/>
    <cellStyle name="Normal 234" xfId="2593" xr:uid="{00000000-0005-0000-0000-0000A8100000}"/>
    <cellStyle name="Normal 234 2" xfId="4501" xr:uid="{00000000-0005-0000-0000-0000A9100000}"/>
    <cellStyle name="Normal 234 3" xfId="5979" xr:uid="{00000000-0005-0000-0000-0000AA100000}"/>
    <cellStyle name="Normal 235" xfId="2594" xr:uid="{00000000-0005-0000-0000-0000AB100000}"/>
    <cellStyle name="Normal 235 2" xfId="4502" xr:uid="{00000000-0005-0000-0000-0000AC100000}"/>
    <cellStyle name="Normal 235 3" xfId="5980" xr:uid="{00000000-0005-0000-0000-0000AD100000}"/>
    <cellStyle name="Normal 236" xfId="2595" xr:uid="{00000000-0005-0000-0000-0000AE100000}"/>
    <cellStyle name="Normal 236 2" xfId="4503" xr:uid="{00000000-0005-0000-0000-0000AF100000}"/>
    <cellStyle name="Normal 236 3" xfId="5981" xr:uid="{00000000-0005-0000-0000-0000B0100000}"/>
    <cellStyle name="Normal 237" xfId="2596" xr:uid="{00000000-0005-0000-0000-0000B1100000}"/>
    <cellStyle name="Normal 237 2" xfId="4504" xr:uid="{00000000-0005-0000-0000-0000B2100000}"/>
    <cellStyle name="Normal 237 3" xfId="5982" xr:uid="{00000000-0005-0000-0000-0000B3100000}"/>
    <cellStyle name="Normal 238" xfId="2597" xr:uid="{00000000-0005-0000-0000-0000B4100000}"/>
    <cellStyle name="Normal 238 2" xfId="4505" xr:uid="{00000000-0005-0000-0000-0000B5100000}"/>
    <cellStyle name="Normal 238 3" xfId="5983" xr:uid="{00000000-0005-0000-0000-0000B6100000}"/>
    <cellStyle name="Normal 239" xfId="2598" xr:uid="{00000000-0005-0000-0000-0000B7100000}"/>
    <cellStyle name="Normal 24" xfId="4764" xr:uid="{00000000-0005-0000-0000-0000B8100000}"/>
    <cellStyle name="Normal 24 2" xfId="2599" xr:uid="{00000000-0005-0000-0000-0000B9100000}"/>
    <cellStyle name="Normal 24 2 2" xfId="2600" xr:uid="{00000000-0005-0000-0000-0000BA100000}"/>
    <cellStyle name="Normal 24 2 3" xfId="2601" xr:uid="{00000000-0005-0000-0000-0000BB100000}"/>
    <cellStyle name="Normal 24 3" xfId="2602" xr:uid="{00000000-0005-0000-0000-0000BC100000}"/>
    <cellStyle name="Normal 240" xfId="2603" xr:uid="{00000000-0005-0000-0000-0000BD100000}"/>
    <cellStyle name="Normal 241" xfId="2604" xr:uid="{00000000-0005-0000-0000-0000BE100000}"/>
    <cellStyle name="Normal 242" xfId="2605" xr:uid="{00000000-0005-0000-0000-0000BF100000}"/>
    <cellStyle name="Normal 242 2" xfId="4506" xr:uid="{00000000-0005-0000-0000-0000C0100000}"/>
    <cellStyle name="Normal 242 3" xfId="5984" xr:uid="{00000000-0005-0000-0000-0000C1100000}"/>
    <cellStyle name="Normal 243" xfId="2606" xr:uid="{00000000-0005-0000-0000-0000C2100000}"/>
    <cellStyle name="Normal 243 2" xfId="4507" xr:uid="{00000000-0005-0000-0000-0000C3100000}"/>
    <cellStyle name="Normal 243 3" xfId="5985" xr:uid="{00000000-0005-0000-0000-0000C4100000}"/>
    <cellStyle name="Normal 244" xfId="2607" xr:uid="{00000000-0005-0000-0000-0000C5100000}"/>
    <cellStyle name="Normal 244 2" xfId="4508" xr:uid="{00000000-0005-0000-0000-0000C6100000}"/>
    <cellStyle name="Normal 244 3" xfId="5986" xr:uid="{00000000-0005-0000-0000-0000C7100000}"/>
    <cellStyle name="Normal 245" xfId="2608" xr:uid="{00000000-0005-0000-0000-0000C8100000}"/>
    <cellStyle name="Normal 245 2" xfId="2609" xr:uid="{00000000-0005-0000-0000-0000C9100000}"/>
    <cellStyle name="Normal 245 2 2" xfId="4510" xr:uid="{00000000-0005-0000-0000-0000CA100000}"/>
    <cellStyle name="Normal 245 2 3" xfId="5987" xr:uid="{00000000-0005-0000-0000-0000CB100000}"/>
    <cellStyle name="Normal 245 3" xfId="2610" xr:uid="{00000000-0005-0000-0000-0000CC100000}"/>
    <cellStyle name="Normal 245 4" xfId="4509" xr:uid="{00000000-0005-0000-0000-0000CD100000}"/>
    <cellStyle name="Normal 246" xfId="2611" xr:uid="{00000000-0005-0000-0000-0000CE100000}"/>
    <cellStyle name="Normal 246 2" xfId="4511" xr:uid="{00000000-0005-0000-0000-0000CF100000}"/>
    <cellStyle name="Normal 246 3" xfId="5988" xr:uid="{00000000-0005-0000-0000-0000D0100000}"/>
    <cellStyle name="Normal 247" xfId="2612" xr:uid="{00000000-0005-0000-0000-0000D1100000}"/>
    <cellStyle name="Normal 248" xfId="2613" xr:uid="{00000000-0005-0000-0000-0000D2100000}"/>
    <cellStyle name="Normal 249" xfId="2614" xr:uid="{00000000-0005-0000-0000-0000D3100000}"/>
    <cellStyle name="Normal 25" xfId="2615" xr:uid="{00000000-0005-0000-0000-0000D4100000}"/>
    <cellStyle name="Normal 25 2" xfId="2616" xr:uid="{00000000-0005-0000-0000-0000D5100000}"/>
    <cellStyle name="Normal 25 3" xfId="2617" xr:uid="{00000000-0005-0000-0000-0000D6100000}"/>
    <cellStyle name="Normal 25 4" xfId="2618" xr:uid="{00000000-0005-0000-0000-0000D7100000}"/>
    <cellStyle name="Normal 25 5" xfId="2619" xr:uid="{00000000-0005-0000-0000-0000D8100000}"/>
    <cellStyle name="Normal 250" xfId="2620" xr:uid="{00000000-0005-0000-0000-0000D9100000}"/>
    <cellStyle name="Normal 250 2" xfId="4512" xr:uid="{00000000-0005-0000-0000-0000DA100000}"/>
    <cellStyle name="Normal 250 3" xfId="5989" xr:uid="{00000000-0005-0000-0000-0000DB100000}"/>
    <cellStyle name="Normal 251" xfId="2621" xr:uid="{00000000-0005-0000-0000-0000DC100000}"/>
    <cellStyle name="Normal 251 2" xfId="4513" xr:uid="{00000000-0005-0000-0000-0000DD100000}"/>
    <cellStyle name="Normal 251 3" xfId="5990" xr:uid="{00000000-0005-0000-0000-0000DE100000}"/>
    <cellStyle name="Normal 252" xfId="2622" xr:uid="{00000000-0005-0000-0000-0000DF100000}"/>
    <cellStyle name="Normal 252 2" xfId="4514" xr:uid="{00000000-0005-0000-0000-0000E0100000}"/>
    <cellStyle name="Normal 252 3" xfId="5991" xr:uid="{00000000-0005-0000-0000-0000E1100000}"/>
    <cellStyle name="Normal 253" xfId="2623" xr:uid="{00000000-0005-0000-0000-0000E2100000}"/>
    <cellStyle name="Normal 254" xfId="2624" xr:uid="{00000000-0005-0000-0000-0000E3100000}"/>
    <cellStyle name="Normal 254 2" xfId="4515" xr:uid="{00000000-0005-0000-0000-0000E4100000}"/>
    <cellStyle name="Normal 254 3" xfId="5992" xr:uid="{00000000-0005-0000-0000-0000E5100000}"/>
    <cellStyle name="Normal 255" xfId="2625" xr:uid="{00000000-0005-0000-0000-0000E6100000}"/>
    <cellStyle name="Normal 255 2" xfId="4516" xr:uid="{00000000-0005-0000-0000-0000E7100000}"/>
    <cellStyle name="Normal 255 3" xfId="5993" xr:uid="{00000000-0005-0000-0000-0000E8100000}"/>
    <cellStyle name="Normal 256" xfId="2626" xr:uid="{00000000-0005-0000-0000-0000E9100000}"/>
    <cellStyle name="Normal 257" xfId="2627" xr:uid="{00000000-0005-0000-0000-0000EA100000}"/>
    <cellStyle name="Normal 258" xfId="2628" xr:uid="{00000000-0005-0000-0000-0000EB100000}"/>
    <cellStyle name="Normal 258 2" xfId="4517" xr:uid="{00000000-0005-0000-0000-0000EC100000}"/>
    <cellStyle name="Normal 258 3" xfId="5994" xr:uid="{00000000-0005-0000-0000-0000ED100000}"/>
    <cellStyle name="Normal 259" xfId="2629" xr:uid="{00000000-0005-0000-0000-0000EE100000}"/>
    <cellStyle name="Normal 26" xfId="2630" xr:uid="{00000000-0005-0000-0000-0000EF100000}"/>
    <cellStyle name="Normal 26 2" xfId="2631" xr:uid="{00000000-0005-0000-0000-0000F0100000}"/>
    <cellStyle name="Normal 260" xfId="2632" xr:uid="{00000000-0005-0000-0000-0000F1100000}"/>
    <cellStyle name="Normal 260 2" xfId="4518" xr:uid="{00000000-0005-0000-0000-0000F2100000}"/>
    <cellStyle name="Normal 260 3" xfId="5995" xr:uid="{00000000-0005-0000-0000-0000F3100000}"/>
    <cellStyle name="Normal 261" xfId="2633" xr:uid="{00000000-0005-0000-0000-0000F4100000}"/>
    <cellStyle name="Normal 261 2" xfId="4519" xr:uid="{00000000-0005-0000-0000-0000F5100000}"/>
    <cellStyle name="Normal 261 3" xfId="5996" xr:uid="{00000000-0005-0000-0000-0000F6100000}"/>
    <cellStyle name="Normal 262" xfId="2634" xr:uid="{00000000-0005-0000-0000-0000F7100000}"/>
    <cellStyle name="Normal 262 2" xfId="4520" xr:uid="{00000000-0005-0000-0000-0000F8100000}"/>
    <cellStyle name="Normal 262 3" xfId="5997" xr:uid="{00000000-0005-0000-0000-0000F9100000}"/>
    <cellStyle name="Normal 263" xfId="2635" xr:uid="{00000000-0005-0000-0000-0000FA100000}"/>
    <cellStyle name="Normal 263 2" xfId="4521" xr:uid="{00000000-0005-0000-0000-0000FB100000}"/>
    <cellStyle name="Normal 263 3" xfId="5998" xr:uid="{00000000-0005-0000-0000-0000FC100000}"/>
    <cellStyle name="Normal 264" xfId="2636" xr:uid="{00000000-0005-0000-0000-0000FD100000}"/>
    <cellStyle name="Normal 264 2" xfId="4522" xr:uid="{00000000-0005-0000-0000-0000FE100000}"/>
    <cellStyle name="Normal 264 3" xfId="5999" xr:uid="{00000000-0005-0000-0000-0000FF100000}"/>
    <cellStyle name="Normal 265" xfId="2637" xr:uid="{00000000-0005-0000-0000-000000110000}"/>
    <cellStyle name="Normal 265 2" xfId="4523" xr:uid="{00000000-0005-0000-0000-000001110000}"/>
    <cellStyle name="Normal 265 3" xfId="6000" xr:uid="{00000000-0005-0000-0000-000002110000}"/>
    <cellStyle name="Normal 266" xfId="2638" xr:uid="{00000000-0005-0000-0000-000003110000}"/>
    <cellStyle name="Normal 267" xfId="2639" xr:uid="{00000000-0005-0000-0000-000004110000}"/>
    <cellStyle name="Normal 268" xfId="2640" xr:uid="{00000000-0005-0000-0000-000005110000}"/>
    <cellStyle name="Normal 269" xfId="2641" xr:uid="{00000000-0005-0000-0000-000006110000}"/>
    <cellStyle name="Normal 269 2" xfId="2642" xr:uid="{00000000-0005-0000-0000-000007110000}"/>
    <cellStyle name="Normal 269 3" xfId="2643" xr:uid="{00000000-0005-0000-0000-000008110000}"/>
    <cellStyle name="Normal 27" xfId="2644" xr:uid="{00000000-0005-0000-0000-000009110000}"/>
    <cellStyle name="Normal 27 2" xfId="2645" xr:uid="{00000000-0005-0000-0000-00000A110000}"/>
    <cellStyle name="Normal 270" xfId="2646" xr:uid="{00000000-0005-0000-0000-00000B110000}"/>
    <cellStyle name="Normal 270 2" xfId="2647" xr:uid="{00000000-0005-0000-0000-00000C110000}"/>
    <cellStyle name="Normal 270 3" xfId="2648" xr:uid="{00000000-0005-0000-0000-00000D110000}"/>
    <cellStyle name="Normal 270 3 2" xfId="4524" xr:uid="{00000000-0005-0000-0000-00000E110000}"/>
    <cellStyle name="Normal 270 3 3" xfId="6001" xr:uid="{00000000-0005-0000-0000-00000F110000}"/>
    <cellStyle name="Normal 271" xfId="2649" xr:uid="{00000000-0005-0000-0000-000010110000}"/>
    <cellStyle name="Normal 271 2" xfId="2650" xr:uid="{00000000-0005-0000-0000-000011110000}"/>
    <cellStyle name="Normal 271 3" xfId="2651" xr:uid="{00000000-0005-0000-0000-000012110000}"/>
    <cellStyle name="Normal 271 3 2" xfId="4525" xr:uid="{00000000-0005-0000-0000-000013110000}"/>
    <cellStyle name="Normal 271 3 3" xfId="6002" xr:uid="{00000000-0005-0000-0000-000014110000}"/>
    <cellStyle name="Normal 272" xfId="2652" xr:uid="{00000000-0005-0000-0000-000015110000}"/>
    <cellStyle name="Normal 272 2" xfId="2653" xr:uid="{00000000-0005-0000-0000-000016110000}"/>
    <cellStyle name="Normal 272 3" xfId="2654" xr:uid="{00000000-0005-0000-0000-000017110000}"/>
    <cellStyle name="Normal 272 3 2" xfId="4526" xr:uid="{00000000-0005-0000-0000-000018110000}"/>
    <cellStyle name="Normal 272 3 3" xfId="6003" xr:uid="{00000000-0005-0000-0000-000019110000}"/>
    <cellStyle name="Normal 273" xfId="2655" xr:uid="{00000000-0005-0000-0000-00001A110000}"/>
    <cellStyle name="Normal 273 2" xfId="2656" xr:uid="{00000000-0005-0000-0000-00001B110000}"/>
    <cellStyle name="Normal 273 3" xfId="2657" xr:uid="{00000000-0005-0000-0000-00001C110000}"/>
    <cellStyle name="Normal 273 3 2" xfId="4527" xr:uid="{00000000-0005-0000-0000-00001D110000}"/>
    <cellStyle name="Normal 273 3 3" xfId="6004" xr:uid="{00000000-0005-0000-0000-00001E110000}"/>
    <cellStyle name="Normal 274" xfId="2658" xr:uid="{00000000-0005-0000-0000-00001F110000}"/>
    <cellStyle name="Normal 275" xfId="2659" xr:uid="{00000000-0005-0000-0000-000020110000}"/>
    <cellStyle name="Normal 276" xfId="2660" xr:uid="{00000000-0005-0000-0000-000021110000}"/>
    <cellStyle name="Normal 277" xfId="2661" xr:uid="{00000000-0005-0000-0000-000022110000}"/>
    <cellStyle name="Normal 278" xfId="2662" xr:uid="{00000000-0005-0000-0000-000023110000}"/>
    <cellStyle name="Normal 279" xfId="2663" xr:uid="{00000000-0005-0000-0000-000024110000}"/>
    <cellStyle name="Normal 28" xfId="2664" xr:uid="{00000000-0005-0000-0000-000025110000}"/>
    <cellStyle name="Normal 28 2" xfId="2665" xr:uid="{00000000-0005-0000-0000-000026110000}"/>
    <cellStyle name="Normal 280" xfId="2666" xr:uid="{00000000-0005-0000-0000-000027110000}"/>
    <cellStyle name="Normal 280 2" xfId="4528" xr:uid="{00000000-0005-0000-0000-000028110000}"/>
    <cellStyle name="Normal 280 3" xfId="6005" xr:uid="{00000000-0005-0000-0000-000029110000}"/>
    <cellStyle name="Normal 281" xfId="2667" xr:uid="{00000000-0005-0000-0000-00002A110000}"/>
    <cellStyle name="Normal 281 2" xfId="4529" xr:uid="{00000000-0005-0000-0000-00002B110000}"/>
    <cellStyle name="Normal 281 3" xfId="6006" xr:uid="{00000000-0005-0000-0000-00002C110000}"/>
    <cellStyle name="Normal 282" xfId="2668" xr:uid="{00000000-0005-0000-0000-00002D110000}"/>
    <cellStyle name="Normal 282 2" xfId="4530" xr:uid="{00000000-0005-0000-0000-00002E110000}"/>
    <cellStyle name="Normal 282 3" xfId="6007" xr:uid="{00000000-0005-0000-0000-00002F110000}"/>
    <cellStyle name="Normal 283" xfId="2669" xr:uid="{00000000-0005-0000-0000-000030110000}"/>
    <cellStyle name="Normal 284" xfId="2670" xr:uid="{00000000-0005-0000-0000-000031110000}"/>
    <cellStyle name="Normal 285" xfId="2671" xr:uid="{00000000-0005-0000-0000-000032110000}"/>
    <cellStyle name="Normal 286" xfId="2672" xr:uid="{00000000-0005-0000-0000-000033110000}"/>
    <cellStyle name="Normal 287" xfId="2673" xr:uid="{00000000-0005-0000-0000-000034110000}"/>
    <cellStyle name="Normal 287 2" xfId="4531" xr:uid="{00000000-0005-0000-0000-000035110000}"/>
    <cellStyle name="Normal 287 3" xfId="6008" xr:uid="{00000000-0005-0000-0000-000036110000}"/>
    <cellStyle name="Normal 288" xfId="2674" xr:uid="{00000000-0005-0000-0000-000037110000}"/>
    <cellStyle name="Normal 288 2" xfId="4532" xr:uid="{00000000-0005-0000-0000-000038110000}"/>
    <cellStyle name="Normal 288 3" xfId="6009" xr:uid="{00000000-0005-0000-0000-000039110000}"/>
    <cellStyle name="Normal 289" xfId="2675" xr:uid="{00000000-0005-0000-0000-00003A110000}"/>
    <cellStyle name="Normal 289 2" xfId="4533" xr:uid="{00000000-0005-0000-0000-00003B110000}"/>
    <cellStyle name="Normal 289 3" xfId="6010" xr:uid="{00000000-0005-0000-0000-00003C110000}"/>
    <cellStyle name="Normal 29" xfId="2676" xr:uid="{00000000-0005-0000-0000-00003D110000}"/>
    <cellStyle name="Normal 29 2" xfId="2677" xr:uid="{00000000-0005-0000-0000-00003E110000}"/>
    <cellStyle name="Normal 290" xfId="2678" xr:uid="{00000000-0005-0000-0000-00003F110000}"/>
    <cellStyle name="Normal 290 2" xfId="4534" xr:uid="{00000000-0005-0000-0000-000040110000}"/>
    <cellStyle name="Normal 290 3" xfId="6011" xr:uid="{00000000-0005-0000-0000-000041110000}"/>
    <cellStyle name="Normal 291" xfId="2679" xr:uid="{00000000-0005-0000-0000-000042110000}"/>
    <cellStyle name="Normal 291 2" xfId="4535" xr:uid="{00000000-0005-0000-0000-000043110000}"/>
    <cellStyle name="Normal 291 3" xfId="6012" xr:uid="{00000000-0005-0000-0000-000044110000}"/>
    <cellStyle name="Normal 292" xfId="2680" xr:uid="{00000000-0005-0000-0000-000045110000}"/>
    <cellStyle name="Normal 293" xfId="2681" xr:uid="{00000000-0005-0000-0000-000046110000}"/>
    <cellStyle name="Normal 294" xfId="2682" xr:uid="{00000000-0005-0000-0000-000047110000}"/>
    <cellStyle name="Normal 294 2" xfId="4536" xr:uid="{00000000-0005-0000-0000-000048110000}"/>
    <cellStyle name="Normal 294 3" xfId="6013" xr:uid="{00000000-0005-0000-0000-000049110000}"/>
    <cellStyle name="Normal 295" xfId="2683" xr:uid="{00000000-0005-0000-0000-00004A110000}"/>
    <cellStyle name="Normal 295 2" xfId="4537" xr:uid="{00000000-0005-0000-0000-00004B110000}"/>
    <cellStyle name="Normal 295 3" xfId="6014" xr:uid="{00000000-0005-0000-0000-00004C110000}"/>
    <cellStyle name="Normal 296" xfId="2684" xr:uid="{00000000-0005-0000-0000-00004D110000}"/>
    <cellStyle name="Normal 297" xfId="2685" xr:uid="{00000000-0005-0000-0000-00004E110000}"/>
    <cellStyle name="Normal 298" xfId="2686" xr:uid="{00000000-0005-0000-0000-00004F110000}"/>
    <cellStyle name="Normal 298 2" xfId="4538" xr:uid="{00000000-0005-0000-0000-000050110000}"/>
    <cellStyle name="Normal 298 3" xfId="6015" xr:uid="{00000000-0005-0000-0000-000051110000}"/>
    <cellStyle name="Normal 299" xfId="2687" xr:uid="{00000000-0005-0000-0000-000052110000}"/>
    <cellStyle name="Normal 299 2" xfId="4539" xr:uid="{00000000-0005-0000-0000-000053110000}"/>
    <cellStyle name="Normal 299 3" xfId="6016" xr:uid="{00000000-0005-0000-0000-000054110000}"/>
    <cellStyle name="Normal 3" xfId="595" xr:uid="{00000000-0005-0000-0000-000055110000}"/>
    <cellStyle name="Normal 3 10" xfId="2688" xr:uid="{00000000-0005-0000-0000-000056110000}"/>
    <cellStyle name="Normal 3 10 2" xfId="2689" xr:uid="{00000000-0005-0000-0000-000057110000}"/>
    <cellStyle name="Normal 3 10 2 2" xfId="4541" xr:uid="{00000000-0005-0000-0000-000058110000}"/>
    <cellStyle name="Normal 3 10 3" xfId="2690" xr:uid="{00000000-0005-0000-0000-000059110000}"/>
    <cellStyle name="Normal 3 10 3 2" xfId="4542" xr:uid="{00000000-0005-0000-0000-00005A110000}"/>
    <cellStyle name="Normal 3 10 4" xfId="4540" xr:uid="{00000000-0005-0000-0000-00005B110000}"/>
    <cellStyle name="Normal 3 10 5" xfId="6017" xr:uid="{00000000-0005-0000-0000-00005C110000}"/>
    <cellStyle name="Normal 3 11" xfId="401" xr:uid="{00000000-0005-0000-0000-00005D110000}"/>
    <cellStyle name="Normal 3 12" xfId="287" xr:uid="{00000000-0005-0000-0000-00005E110000}"/>
    <cellStyle name="Normal 3 12 2" xfId="365" xr:uid="{00000000-0005-0000-0000-00005F110000}"/>
    <cellStyle name="Normal 3 12 3" xfId="409" xr:uid="{00000000-0005-0000-0000-000060110000}"/>
    <cellStyle name="Normal 3 12 4" xfId="391" xr:uid="{00000000-0005-0000-0000-000061110000}"/>
    <cellStyle name="Normal 3 13" xfId="288" xr:uid="{00000000-0005-0000-0000-000062110000}"/>
    <cellStyle name="Normal 3 13 2" xfId="366" xr:uid="{00000000-0005-0000-0000-000063110000}"/>
    <cellStyle name="Normal 3 13 3" xfId="410" xr:uid="{00000000-0005-0000-0000-000064110000}"/>
    <cellStyle name="Normal 3 13 4" xfId="392" xr:uid="{00000000-0005-0000-0000-000065110000}"/>
    <cellStyle name="Normal 3 14" xfId="289" xr:uid="{00000000-0005-0000-0000-000066110000}"/>
    <cellStyle name="Normal 3 14 2" xfId="367" xr:uid="{00000000-0005-0000-0000-000067110000}"/>
    <cellStyle name="Normal 3 14 3" xfId="411" xr:uid="{00000000-0005-0000-0000-000068110000}"/>
    <cellStyle name="Normal 3 14 4" xfId="393" xr:uid="{00000000-0005-0000-0000-000069110000}"/>
    <cellStyle name="Normal 3 15" xfId="3930" xr:uid="{00000000-0005-0000-0000-00006A110000}"/>
    <cellStyle name="Normal 3 16" xfId="6477" xr:uid="{00000000-0005-0000-0000-00006B110000}"/>
    <cellStyle name="Normal 3 2" xfId="596" xr:uid="{00000000-0005-0000-0000-00006C110000}"/>
    <cellStyle name="Normal 3 2 10" xfId="2691" xr:uid="{00000000-0005-0000-0000-00006D110000}"/>
    <cellStyle name="Normal 3 2 11" xfId="3931" xr:uid="{00000000-0005-0000-0000-00006E110000}"/>
    <cellStyle name="Normal 3 2 12" xfId="6018" xr:uid="{00000000-0005-0000-0000-00006F110000}"/>
    <cellStyle name="Normal 3 2 2" xfId="597" xr:uid="{00000000-0005-0000-0000-000070110000}"/>
    <cellStyle name="Normal 3 2 2 2" xfId="2693" xr:uid="{00000000-0005-0000-0000-000071110000}"/>
    <cellStyle name="Normal 3 2 2 3" xfId="2694" xr:uid="{00000000-0005-0000-0000-000072110000}"/>
    <cellStyle name="Normal 3 2 2 3 2" xfId="4543" xr:uid="{00000000-0005-0000-0000-000073110000}"/>
    <cellStyle name="Normal 3 2 2 3 3" xfId="6020" xr:uid="{00000000-0005-0000-0000-000074110000}"/>
    <cellStyle name="Normal 3 2 2 4" xfId="2692" xr:uid="{00000000-0005-0000-0000-000075110000}"/>
    <cellStyle name="Normal 3 2 2 5" xfId="3932" xr:uid="{00000000-0005-0000-0000-000076110000}"/>
    <cellStyle name="Normal 3 2 2 6" xfId="6019" xr:uid="{00000000-0005-0000-0000-000077110000}"/>
    <cellStyle name="Normal 3 2 3" xfId="598" xr:uid="{00000000-0005-0000-0000-000078110000}"/>
    <cellStyle name="Normal 3 2 3 2" xfId="2696" xr:uid="{00000000-0005-0000-0000-000079110000}"/>
    <cellStyle name="Normal 3 2 3 2 2" xfId="4545" xr:uid="{00000000-0005-0000-0000-00007A110000}"/>
    <cellStyle name="Normal 3 2 3 2 3" xfId="6022" xr:uid="{00000000-0005-0000-0000-00007B110000}"/>
    <cellStyle name="Normal 3 2 3 3" xfId="2695" xr:uid="{00000000-0005-0000-0000-00007C110000}"/>
    <cellStyle name="Normal 3 2 3 3 2" xfId="4544" xr:uid="{00000000-0005-0000-0000-00007D110000}"/>
    <cellStyle name="Normal 3 2 3 4" xfId="3933" xr:uid="{00000000-0005-0000-0000-00007E110000}"/>
    <cellStyle name="Normal 3 2 3 5" xfId="6021" xr:uid="{00000000-0005-0000-0000-00007F110000}"/>
    <cellStyle name="Normal 3 2 4" xfId="2697" xr:uid="{00000000-0005-0000-0000-000080110000}"/>
    <cellStyle name="Normal 3 2 4 2" xfId="2698" xr:uid="{00000000-0005-0000-0000-000081110000}"/>
    <cellStyle name="Normal 3 2 4 2 2" xfId="4547" xr:uid="{00000000-0005-0000-0000-000082110000}"/>
    <cellStyle name="Normal 3 2 4 2 3" xfId="6024" xr:uid="{00000000-0005-0000-0000-000083110000}"/>
    <cellStyle name="Normal 3 2 4 3" xfId="4546" xr:uid="{00000000-0005-0000-0000-000084110000}"/>
    <cellStyle name="Normal 3 2 4 4" xfId="6023" xr:uid="{00000000-0005-0000-0000-000085110000}"/>
    <cellStyle name="Normal 3 2 5" xfId="2699" xr:uid="{00000000-0005-0000-0000-000086110000}"/>
    <cellStyle name="Normal 3 2 5 2" xfId="2700" xr:uid="{00000000-0005-0000-0000-000087110000}"/>
    <cellStyle name="Normal 3 2 5 2 2" xfId="4549" xr:uid="{00000000-0005-0000-0000-000088110000}"/>
    <cellStyle name="Normal 3 2 5 2 3" xfId="6026" xr:uid="{00000000-0005-0000-0000-000089110000}"/>
    <cellStyle name="Normal 3 2 5 3" xfId="4548" xr:uid="{00000000-0005-0000-0000-00008A110000}"/>
    <cellStyle name="Normal 3 2 5 4" xfId="6025" xr:uid="{00000000-0005-0000-0000-00008B110000}"/>
    <cellStyle name="Normal 3 2 6" xfId="2701" xr:uid="{00000000-0005-0000-0000-00008C110000}"/>
    <cellStyle name="Normal 3 2 6 2" xfId="2702" xr:uid="{00000000-0005-0000-0000-00008D110000}"/>
    <cellStyle name="Normal 3 2 7" xfId="2703" xr:uid="{00000000-0005-0000-0000-00008E110000}"/>
    <cellStyle name="Normal 3 2 8" xfId="2704" xr:uid="{00000000-0005-0000-0000-00008F110000}"/>
    <cellStyle name="Normal 3 2 8 2" xfId="4550" xr:uid="{00000000-0005-0000-0000-000090110000}"/>
    <cellStyle name="Normal 3 2 9" xfId="2705" xr:uid="{00000000-0005-0000-0000-000091110000}"/>
    <cellStyle name="Normal 3 3" xfId="290" xr:uid="{00000000-0005-0000-0000-000092110000}"/>
    <cellStyle name="Normal 3 3 2" xfId="368" xr:uid="{00000000-0005-0000-0000-000093110000}"/>
    <cellStyle name="Normal 3 3 2 2" xfId="2707" xr:uid="{00000000-0005-0000-0000-000094110000}"/>
    <cellStyle name="Normal 3 3 2 2 2" xfId="2708" xr:uid="{00000000-0005-0000-0000-000095110000}"/>
    <cellStyle name="Normal 3 3 2 2 2 2" xfId="2709" xr:uid="{00000000-0005-0000-0000-000096110000}"/>
    <cellStyle name="Normal 3 3 2 2 2 2 2" xfId="4552" xr:uid="{00000000-0005-0000-0000-000097110000}"/>
    <cellStyle name="Normal 3 3 2 2 3" xfId="2710" xr:uid="{00000000-0005-0000-0000-000098110000}"/>
    <cellStyle name="Normal 3 3 2 2 3 2" xfId="4553" xr:uid="{00000000-0005-0000-0000-000099110000}"/>
    <cellStyle name="Normal 3 3 2 2 4" xfId="2711" xr:uid="{00000000-0005-0000-0000-00009A110000}"/>
    <cellStyle name="Normal 3 3 2 2 4 2" xfId="4554" xr:uid="{00000000-0005-0000-0000-00009B110000}"/>
    <cellStyle name="Normal 3 3 2 2 5" xfId="6027" xr:uid="{00000000-0005-0000-0000-00009C110000}"/>
    <cellStyle name="Normal 3 3 2 3" xfId="2706" xr:uid="{00000000-0005-0000-0000-00009D110000}"/>
    <cellStyle name="Normal 3 3 2 3 2" xfId="4551" xr:uid="{00000000-0005-0000-0000-00009E110000}"/>
    <cellStyle name="Normal 3 3 2 4" xfId="3934" xr:uid="{00000000-0005-0000-0000-00009F110000}"/>
    <cellStyle name="Normal 3 3 2 5" xfId="600" xr:uid="{00000000-0005-0000-0000-0000A0110000}"/>
    <cellStyle name="Normal 3 3 3" xfId="601" xr:uid="{00000000-0005-0000-0000-0000A1110000}"/>
    <cellStyle name="Normal 3 3 3 2" xfId="2713" xr:uid="{00000000-0005-0000-0000-0000A2110000}"/>
    <cellStyle name="Normal 3 3 3 3" xfId="2714" xr:uid="{00000000-0005-0000-0000-0000A3110000}"/>
    <cellStyle name="Normal 3 3 3 3 2" xfId="4555" xr:uid="{00000000-0005-0000-0000-0000A4110000}"/>
    <cellStyle name="Normal 3 3 3 4" xfId="2712" xr:uid="{00000000-0005-0000-0000-0000A5110000}"/>
    <cellStyle name="Normal 3 3 3 5" xfId="3935" xr:uid="{00000000-0005-0000-0000-0000A6110000}"/>
    <cellStyle name="Normal 3 3 4" xfId="602" xr:uid="{00000000-0005-0000-0000-0000A7110000}"/>
    <cellStyle name="Normal 3 3 4 2" xfId="2716" xr:uid="{00000000-0005-0000-0000-0000A8110000}"/>
    <cellStyle name="Normal 3 3 4 2 2" xfId="4557" xr:uid="{00000000-0005-0000-0000-0000A9110000}"/>
    <cellStyle name="Normal 3 3 4 2 3" xfId="6029" xr:uid="{00000000-0005-0000-0000-0000AA110000}"/>
    <cellStyle name="Normal 3 3 4 3" xfId="2717" xr:uid="{00000000-0005-0000-0000-0000AB110000}"/>
    <cellStyle name="Normal 3 3 4 3 2" xfId="4558" xr:uid="{00000000-0005-0000-0000-0000AC110000}"/>
    <cellStyle name="Normal 3 3 4 3 3" xfId="6030" xr:uid="{00000000-0005-0000-0000-0000AD110000}"/>
    <cellStyle name="Normal 3 3 4 4" xfId="2718" xr:uid="{00000000-0005-0000-0000-0000AE110000}"/>
    <cellStyle name="Normal 3 3 4 4 2" xfId="4559" xr:uid="{00000000-0005-0000-0000-0000AF110000}"/>
    <cellStyle name="Normal 3 3 4 5" xfId="2715" xr:uid="{00000000-0005-0000-0000-0000B0110000}"/>
    <cellStyle name="Normal 3 3 4 5 2" xfId="4556" xr:uid="{00000000-0005-0000-0000-0000B1110000}"/>
    <cellStyle name="Normal 3 3 4 6" xfId="3936" xr:uid="{00000000-0005-0000-0000-0000B2110000}"/>
    <cellStyle name="Normal 3 3 4 7" xfId="6028" xr:uid="{00000000-0005-0000-0000-0000B3110000}"/>
    <cellStyle name="Normal 3 3 5" xfId="599" xr:uid="{00000000-0005-0000-0000-0000B4110000}"/>
    <cellStyle name="Normal 3 3 5 2" xfId="2719" xr:uid="{00000000-0005-0000-0000-0000B5110000}"/>
    <cellStyle name="Normal 3 3 5 2 2" xfId="4560" xr:uid="{00000000-0005-0000-0000-0000B6110000}"/>
    <cellStyle name="Normal 3 3 5 3" xfId="6031" xr:uid="{00000000-0005-0000-0000-0000B7110000}"/>
    <cellStyle name="Normal 3 3 6" xfId="412" xr:uid="{00000000-0005-0000-0000-0000B8110000}"/>
    <cellStyle name="Normal 3 3 7" xfId="394" xr:uid="{00000000-0005-0000-0000-0000B9110000}"/>
    <cellStyle name="Normal 3 4" xfId="603" xr:uid="{00000000-0005-0000-0000-0000BA110000}"/>
    <cellStyle name="Normal 3 4 2" xfId="2721" xr:uid="{00000000-0005-0000-0000-0000BB110000}"/>
    <cellStyle name="Normal 3 4 2 2" xfId="2722" xr:uid="{00000000-0005-0000-0000-0000BC110000}"/>
    <cellStyle name="Normal 3 4 2 2 2" xfId="2723" xr:uid="{00000000-0005-0000-0000-0000BD110000}"/>
    <cellStyle name="Normal 3 4 2 2 2 2" xfId="4564" xr:uid="{00000000-0005-0000-0000-0000BE110000}"/>
    <cellStyle name="Normal 3 4 2 2 3" xfId="4563" xr:uid="{00000000-0005-0000-0000-0000BF110000}"/>
    <cellStyle name="Normal 3 4 2 2 4" xfId="6032" xr:uid="{00000000-0005-0000-0000-0000C0110000}"/>
    <cellStyle name="Normal 3 4 2 3" xfId="2724" xr:uid="{00000000-0005-0000-0000-0000C1110000}"/>
    <cellStyle name="Normal 3 4 2 3 2" xfId="4565" xr:uid="{00000000-0005-0000-0000-0000C2110000}"/>
    <cellStyle name="Normal 3 4 2 4" xfId="2725" xr:uid="{00000000-0005-0000-0000-0000C3110000}"/>
    <cellStyle name="Normal 3 4 2 5" xfId="4562" xr:uid="{00000000-0005-0000-0000-0000C4110000}"/>
    <cellStyle name="Normal 3 4 3" xfId="2726" xr:uid="{00000000-0005-0000-0000-0000C5110000}"/>
    <cellStyle name="Normal 3 4 3 2" xfId="2727" xr:uid="{00000000-0005-0000-0000-0000C6110000}"/>
    <cellStyle name="Normal 3 4 3 2 2" xfId="4567" xr:uid="{00000000-0005-0000-0000-0000C7110000}"/>
    <cellStyle name="Normal 3 4 3 2 3" xfId="6034" xr:uid="{00000000-0005-0000-0000-0000C8110000}"/>
    <cellStyle name="Normal 3 4 3 3" xfId="4566" xr:uid="{00000000-0005-0000-0000-0000C9110000}"/>
    <cellStyle name="Normal 3 4 3 4" xfId="6033" xr:uid="{00000000-0005-0000-0000-0000CA110000}"/>
    <cellStyle name="Normal 3 4 4" xfId="2728" xr:uid="{00000000-0005-0000-0000-0000CB110000}"/>
    <cellStyle name="Normal 3 4 4 2" xfId="2729" xr:uid="{00000000-0005-0000-0000-0000CC110000}"/>
    <cellStyle name="Normal 3 4 4 2 2" xfId="6036" xr:uid="{00000000-0005-0000-0000-0000CD110000}"/>
    <cellStyle name="Normal 3 4 4 3" xfId="2730" xr:uid="{00000000-0005-0000-0000-0000CE110000}"/>
    <cellStyle name="Normal 3 4 4 3 2" xfId="6037" xr:uid="{00000000-0005-0000-0000-0000CF110000}"/>
    <cellStyle name="Normal 3 4 4 4" xfId="2731" xr:uid="{00000000-0005-0000-0000-0000D0110000}"/>
    <cellStyle name="Normal 3 4 4 4 2" xfId="4568" xr:uid="{00000000-0005-0000-0000-0000D1110000}"/>
    <cellStyle name="Normal 3 4 4 5" xfId="2732" xr:uid="{00000000-0005-0000-0000-0000D2110000}"/>
    <cellStyle name="Normal 3 4 4 6" xfId="6035" xr:uid="{00000000-0005-0000-0000-0000D3110000}"/>
    <cellStyle name="Normal 3 4 5" xfId="2733" xr:uid="{00000000-0005-0000-0000-0000D4110000}"/>
    <cellStyle name="Normal 3 4 6" xfId="2734" xr:uid="{00000000-0005-0000-0000-0000D5110000}"/>
    <cellStyle name="Normal 3 4 7" xfId="2735" xr:uid="{00000000-0005-0000-0000-0000D6110000}"/>
    <cellStyle name="Normal 3 4 8" xfId="2736" xr:uid="{00000000-0005-0000-0000-0000D7110000}"/>
    <cellStyle name="Normal 3 4 8 2" xfId="4569" xr:uid="{00000000-0005-0000-0000-0000D8110000}"/>
    <cellStyle name="Normal 3 4 9" xfId="2720" xr:uid="{00000000-0005-0000-0000-0000D9110000}"/>
    <cellStyle name="Normal 3 4 9 2" xfId="4561" xr:uid="{00000000-0005-0000-0000-0000DA110000}"/>
    <cellStyle name="Normal 3 5" xfId="604" xr:uid="{00000000-0005-0000-0000-0000DB110000}"/>
    <cellStyle name="Normal 3 5 2" xfId="2738" xr:uid="{00000000-0005-0000-0000-0000DC110000}"/>
    <cellStyle name="Normal 3 5 2 2" xfId="2739" xr:uid="{00000000-0005-0000-0000-0000DD110000}"/>
    <cellStyle name="Normal 3 5 2 2 2" xfId="4571" xr:uid="{00000000-0005-0000-0000-0000DE110000}"/>
    <cellStyle name="Normal 3 5 3" xfId="2740" xr:uid="{00000000-0005-0000-0000-0000DF110000}"/>
    <cellStyle name="Normal 3 5 3 2" xfId="4572" xr:uid="{00000000-0005-0000-0000-0000E0110000}"/>
    <cellStyle name="Normal 3 5 3 3" xfId="6038" xr:uid="{00000000-0005-0000-0000-0000E1110000}"/>
    <cellStyle name="Normal 3 5 4" xfId="2741" xr:uid="{00000000-0005-0000-0000-0000E2110000}"/>
    <cellStyle name="Normal 3 5 5" xfId="2742" xr:uid="{00000000-0005-0000-0000-0000E3110000}"/>
    <cellStyle name="Normal 3 5 5 2" xfId="4573" xr:uid="{00000000-0005-0000-0000-0000E4110000}"/>
    <cellStyle name="Normal 3 5 6" xfId="2743" xr:uid="{00000000-0005-0000-0000-0000E5110000}"/>
    <cellStyle name="Normal 3 5 7" xfId="2737" xr:uid="{00000000-0005-0000-0000-0000E6110000}"/>
    <cellStyle name="Normal 3 5 7 2" xfId="4570" xr:uid="{00000000-0005-0000-0000-0000E7110000}"/>
    <cellStyle name="Normal 3 5 8" xfId="3937" xr:uid="{00000000-0005-0000-0000-0000E8110000}"/>
    <cellStyle name="Normal 3 6" xfId="2744" xr:uid="{00000000-0005-0000-0000-0000E9110000}"/>
    <cellStyle name="Normal 3 6 2" xfId="2745" xr:uid="{00000000-0005-0000-0000-0000EA110000}"/>
    <cellStyle name="Normal 3 6 2 2" xfId="4575" xr:uid="{00000000-0005-0000-0000-0000EB110000}"/>
    <cellStyle name="Normal 3 6 2 3" xfId="6040" xr:uid="{00000000-0005-0000-0000-0000EC110000}"/>
    <cellStyle name="Normal 3 6 3" xfId="4574" xr:uid="{00000000-0005-0000-0000-0000ED110000}"/>
    <cellStyle name="Normal 3 6 4" xfId="6039" xr:uid="{00000000-0005-0000-0000-0000EE110000}"/>
    <cellStyle name="Normal 3 7" xfId="2746" xr:uid="{00000000-0005-0000-0000-0000EF110000}"/>
    <cellStyle name="Normal 3 7 2" xfId="2747" xr:uid="{00000000-0005-0000-0000-0000F0110000}"/>
    <cellStyle name="Normal 3 7 2 2" xfId="4577" xr:uid="{00000000-0005-0000-0000-0000F1110000}"/>
    <cellStyle name="Normal 3 7 2 3" xfId="6042" xr:uid="{00000000-0005-0000-0000-0000F2110000}"/>
    <cellStyle name="Normal 3 7 3" xfId="4576" xr:uid="{00000000-0005-0000-0000-0000F3110000}"/>
    <cellStyle name="Normal 3 7 4" xfId="6041" xr:uid="{00000000-0005-0000-0000-0000F4110000}"/>
    <cellStyle name="Normal 3 8" xfId="2748" xr:uid="{00000000-0005-0000-0000-0000F5110000}"/>
    <cellStyle name="Normal 3 8 2" xfId="2749" xr:uid="{00000000-0005-0000-0000-0000F6110000}"/>
    <cellStyle name="Normal 3 8 2 2" xfId="4579" xr:uid="{00000000-0005-0000-0000-0000F7110000}"/>
    <cellStyle name="Normal 3 8 2 3" xfId="6044" xr:uid="{00000000-0005-0000-0000-0000F8110000}"/>
    <cellStyle name="Normal 3 8 3" xfId="4578" xr:uid="{00000000-0005-0000-0000-0000F9110000}"/>
    <cellStyle name="Normal 3 8 4" xfId="6043" xr:uid="{00000000-0005-0000-0000-0000FA110000}"/>
    <cellStyle name="Normal 3 9" xfId="2750" xr:uid="{00000000-0005-0000-0000-0000FB110000}"/>
    <cellStyle name="Normal 3 9 2" xfId="2751" xr:uid="{00000000-0005-0000-0000-0000FC110000}"/>
    <cellStyle name="Normal 30" xfId="2752" xr:uid="{00000000-0005-0000-0000-0000FD110000}"/>
    <cellStyle name="Normal 30 2" xfId="2753" xr:uid="{00000000-0005-0000-0000-0000FE110000}"/>
    <cellStyle name="Normal 300" xfId="2754" xr:uid="{00000000-0005-0000-0000-0000FF110000}"/>
    <cellStyle name="Normal 301" xfId="2755" xr:uid="{00000000-0005-0000-0000-000000120000}"/>
    <cellStyle name="Normal 302" xfId="2756" xr:uid="{00000000-0005-0000-0000-000001120000}"/>
    <cellStyle name="Normal 303" xfId="2757" xr:uid="{00000000-0005-0000-0000-000002120000}"/>
    <cellStyle name="Normal 303 2" xfId="4580" xr:uid="{00000000-0005-0000-0000-000003120000}"/>
    <cellStyle name="Normal 303 3" xfId="6045" xr:uid="{00000000-0005-0000-0000-000004120000}"/>
    <cellStyle name="Normal 304" xfId="2758" xr:uid="{00000000-0005-0000-0000-000005120000}"/>
    <cellStyle name="Normal 304 2" xfId="4581" xr:uid="{00000000-0005-0000-0000-000006120000}"/>
    <cellStyle name="Normal 304 3" xfId="6046" xr:uid="{00000000-0005-0000-0000-000007120000}"/>
    <cellStyle name="Normal 305" xfId="2759" xr:uid="{00000000-0005-0000-0000-000008120000}"/>
    <cellStyle name="Normal 305 2" xfId="4582" xr:uid="{00000000-0005-0000-0000-000009120000}"/>
    <cellStyle name="Normal 305 3" xfId="6047" xr:uid="{00000000-0005-0000-0000-00000A120000}"/>
    <cellStyle name="Normal 306" xfId="2760" xr:uid="{00000000-0005-0000-0000-00000B120000}"/>
    <cellStyle name="Normal 307" xfId="2761" xr:uid="{00000000-0005-0000-0000-00000C120000}"/>
    <cellStyle name="Normal 307 2" xfId="4583" xr:uid="{00000000-0005-0000-0000-00000D120000}"/>
    <cellStyle name="Normal 307 3" xfId="6048" xr:uid="{00000000-0005-0000-0000-00000E120000}"/>
    <cellStyle name="Normal 308" xfId="2762" xr:uid="{00000000-0005-0000-0000-00000F120000}"/>
    <cellStyle name="Normal 308 2" xfId="4584" xr:uid="{00000000-0005-0000-0000-000010120000}"/>
    <cellStyle name="Normal 308 3" xfId="6049" xr:uid="{00000000-0005-0000-0000-000011120000}"/>
    <cellStyle name="Normal 309" xfId="2763" xr:uid="{00000000-0005-0000-0000-000012120000}"/>
    <cellStyle name="Normal 309 2" xfId="4585" xr:uid="{00000000-0005-0000-0000-000013120000}"/>
    <cellStyle name="Normal 309 3" xfId="6050" xr:uid="{00000000-0005-0000-0000-000014120000}"/>
    <cellStyle name="Normal 31" xfId="2764" xr:uid="{00000000-0005-0000-0000-000015120000}"/>
    <cellStyle name="Normal 31 2" xfId="2765" xr:uid="{00000000-0005-0000-0000-000016120000}"/>
    <cellStyle name="Normal 310" xfId="2766" xr:uid="{00000000-0005-0000-0000-000017120000}"/>
    <cellStyle name="Normal 310 2" xfId="4586" xr:uid="{00000000-0005-0000-0000-000018120000}"/>
    <cellStyle name="Normal 310 3" xfId="6051" xr:uid="{00000000-0005-0000-0000-000019120000}"/>
    <cellStyle name="Normal 311" xfId="2767" xr:uid="{00000000-0005-0000-0000-00001A120000}"/>
    <cellStyle name="Normal 311 2" xfId="4587" xr:uid="{00000000-0005-0000-0000-00001B120000}"/>
    <cellStyle name="Normal 311 3" xfId="6052" xr:uid="{00000000-0005-0000-0000-00001C120000}"/>
    <cellStyle name="Normal 312" xfId="2768" xr:uid="{00000000-0005-0000-0000-00001D120000}"/>
    <cellStyle name="Normal 312 2" xfId="4588" xr:uid="{00000000-0005-0000-0000-00001E120000}"/>
    <cellStyle name="Normal 312 3" xfId="6053" xr:uid="{00000000-0005-0000-0000-00001F120000}"/>
    <cellStyle name="Normal 313" xfId="2769" xr:uid="{00000000-0005-0000-0000-000020120000}"/>
    <cellStyle name="Normal 313 2" xfId="4589" xr:uid="{00000000-0005-0000-0000-000021120000}"/>
    <cellStyle name="Normal 313 3" xfId="6054" xr:uid="{00000000-0005-0000-0000-000022120000}"/>
    <cellStyle name="Normal 314" xfId="2770" xr:uid="{00000000-0005-0000-0000-000023120000}"/>
    <cellStyle name="Normal 314 2" xfId="4590" xr:uid="{00000000-0005-0000-0000-000024120000}"/>
    <cellStyle name="Normal 314 3" xfId="6055" xr:uid="{00000000-0005-0000-0000-000025120000}"/>
    <cellStyle name="Normal 315" xfId="2771" xr:uid="{00000000-0005-0000-0000-000026120000}"/>
    <cellStyle name="Normal 315 2" xfId="4591" xr:uid="{00000000-0005-0000-0000-000027120000}"/>
    <cellStyle name="Normal 315 3" xfId="6056" xr:uid="{00000000-0005-0000-0000-000028120000}"/>
    <cellStyle name="Normal 316" xfId="2772" xr:uid="{00000000-0005-0000-0000-000029120000}"/>
    <cellStyle name="Normal 316 2" xfId="4592" xr:uid="{00000000-0005-0000-0000-00002A120000}"/>
    <cellStyle name="Normal 316 3" xfId="6057" xr:uid="{00000000-0005-0000-0000-00002B120000}"/>
    <cellStyle name="Normal 317" xfId="2773" xr:uid="{00000000-0005-0000-0000-00002C120000}"/>
    <cellStyle name="Normal 317 2" xfId="4593" xr:uid="{00000000-0005-0000-0000-00002D120000}"/>
    <cellStyle name="Normal 317 3" xfId="6058" xr:uid="{00000000-0005-0000-0000-00002E120000}"/>
    <cellStyle name="Normal 318" xfId="2774" xr:uid="{00000000-0005-0000-0000-00002F120000}"/>
    <cellStyle name="Normal 318 2" xfId="4594" xr:uid="{00000000-0005-0000-0000-000030120000}"/>
    <cellStyle name="Normal 318 3" xfId="6059" xr:uid="{00000000-0005-0000-0000-000031120000}"/>
    <cellStyle name="Normal 319" xfId="2775" xr:uid="{00000000-0005-0000-0000-000032120000}"/>
    <cellStyle name="Normal 319 2" xfId="4595" xr:uid="{00000000-0005-0000-0000-000033120000}"/>
    <cellStyle name="Normal 319 3" xfId="6060" xr:uid="{00000000-0005-0000-0000-000034120000}"/>
    <cellStyle name="Normal 32" xfId="2776" xr:uid="{00000000-0005-0000-0000-000035120000}"/>
    <cellStyle name="Normal 32 2" xfId="2777" xr:uid="{00000000-0005-0000-0000-000036120000}"/>
    <cellStyle name="Normal 320" xfId="2778" xr:uid="{00000000-0005-0000-0000-000037120000}"/>
    <cellStyle name="Normal 320 2" xfId="4596" xr:uid="{00000000-0005-0000-0000-000038120000}"/>
    <cellStyle name="Normal 320 3" xfId="6061" xr:uid="{00000000-0005-0000-0000-000039120000}"/>
    <cellStyle name="Normal 321" xfId="2779" xr:uid="{00000000-0005-0000-0000-00003A120000}"/>
    <cellStyle name="Normal 321 2" xfId="6062" xr:uid="{00000000-0005-0000-0000-00003B120000}"/>
    <cellStyle name="Normal 322" xfId="2780" xr:uid="{00000000-0005-0000-0000-00003C120000}"/>
    <cellStyle name="Normal 322 2" xfId="6063" xr:uid="{00000000-0005-0000-0000-00003D120000}"/>
    <cellStyle name="Normal 323" xfId="2781" xr:uid="{00000000-0005-0000-0000-00003E120000}"/>
    <cellStyle name="Normal 323 2" xfId="6064" xr:uid="{00000000-0005-0000-0000-00003F120000}"/>
    <cellStyle name="Normal 324" xfId="2782" xr:uid="{00000000-0005-0000-0000-000040120000}"/>
    <cellStyle name="Normal 324 2" xfId="6065" xr:uid="{00000000-0005-0000-0000-000041120000}"/>
    <cellStyle name="Normal 325" xfId="2783" xr:uid="{00000000-0005-0000-0000-000042120000}"/>
    <cellStyle name="Normal 325 2" xfId="6066" xr:uid="{00000000-0005-0000-0000-000043120000}"/>
    <cellStyle name="Normal 326" xfId="2784" xr:uid="{00000000-0005-0000-0000-000044120000}"/>
    <cellStyle name="Normal 326 2" xfId="6067" xr:uid="{00000000-0005-0000-0000-000045120000}"/>
    <cellStyle name="Normal 327" xfId="2785" xr:uid="{00000000-0005-0000-0000-000046120000}"/>
    <cellStyle name="Normal 327 2" xfId="6068" xr:uid="{00000000-0005-0000-0000-000047120000}"/>
    <cellStyle name="Normal 328" xfId="2786" xr:uid="{00000000-0005-0000-0000-000048120000}"/>
    <cellStyle name="Normal 328 2" xfId="2787" xr:uid="{00000000-0005-0000-0000-000049120000}"/>
    <cellStyle name="Normal 328 3" xfId="2788" xr:uid="{00000000-0005-0000-0000-00004A120000}"/>
    <cellStyle name="Normal 328 4" xfId="6069" xr:uid="{00000000-0005-0000-0000-00004B120000}"/>
    <cellStyle name="Normal 329" xfId="2789" xr:uid="{00000000-0005-0000-0000-00004C120000}"/>
    <cellStyle name="Normal 329 2" xfId="2790" xr:uid="{00000000-0005-0000-0000-00004D120000}"/>
    <cellStyle name="Normal 329 3" xfId="2791" xr:uid="{00000000-0005-0000-0000-00004E120000}"/>
    <cellStyle name="Normal 329 4" xfId="6070" xr:uid="{00000000-0005-0000-0000-00004F120000}"/>
    <cellStyle name="Normal 33" xfId="2792" xr:uid="{00000000-0005-0000-0000-000050120000}"/>
    <cellStyle name="Normal 33 2" xfId="2793" xr:uid="{00000000-0005-0000-0000-000051120000}"/>
    <cellStyle name="Normal 33 2 2" xfId="6072" xr:uid="{00000000-0005-0000-0000-000052120000}"/>
    <cellStyle name="Normal 33 3" xfId="6071" xr:uid="{00000000-0005-0000-0000-000053120000}"/>
    <cellStyle name="Normal 330" xfId="2794" xr:uid="{00000000-0005-0000-0000-000054120000}"/>
    <cellStyle name="Normal 330 2" xfId="2795" xr:uid="{00000000-0005-0000-0000-000055120000}"/>
    <cellStyle name="Normal 330 3" xfId="2796" xr:uid="{00000000-0005-0000-0000-000056120000}"/>
    <cellStyle name="Normal 330 4" xfId="6073" xr:uid="{00000000-0005-0000-0000-000057120000}"/>
    <cellStyle name="Normal 331" xfId="2797" xr:uid="{00000000-0005-0000-0000-000058120000}"/>
    <cellStyle name="Normal 331 2" xfId="2798" xr:uid="{00000000-0005-0000-0000-000059120000}"/>
    <cellStyle name="Normal 331 3" xfId="2799" xr:uid="{00000000-0005-0000-0000-00005A120000}"/>
    <cellStyle name="Normal 331 4" xfId="6074" xr:uid="{00000000-0005-0000-0000-00005B120000}"/>
    <cellStyle name="Normal 332" xfId="2800" xr:uid="{00000000-0005-0000-0000-00005C120000}"/>
    <cellStyle name="Normal 332 2" xfId="2801" xr:uid="{00000000-0005-0000-0000-00005D120000}"/>
    <cellStyle name="Normal 332 3" xfId="2802" xr:uid="{00000000-0005-0000-0000-00005E120000}"/>
    <cellStyle name="Normal 332 4" xfId="6075" xr:uid="{00000000-0005-0000-0000-00005F120000}"/>
    <cellStyle name="Normal 333" xfId="2803" xr:uid="{00000000-0005-0000-0000-000060120000}"/>
    <cellStyle name="Normal 333 2" xfId="2804" xr:uid="{00000000-0005-0000-0000-000061120000}"/>
    <cellStyle name="Normal 333 3" xfId="2805" xr:uid="{00000000-0005-0000-0000-000062120000}"/>
    <cellStyle name="Normal 333 4" xfId="6076" xr:uid="{00000000-0005-0000-0000-000063120000}"/>
    <cellStyle name="Normal 334" xfId="2806" xr:uid="{00000000-0005-0000-0000-000064120000}"/>
    <cellStyle name="Normal 334 2" xfId="2807" xr:uid="{00000000-0005-0000-0000-000065120000}"/>
    <cellStyle name="Normal 334 3" xfId="2808" xr:uid="{00000000-0005-0000-0000-000066120000}"/>
    <cellStyle name="Normal 334 4" xfId="6077" xr:uid="{00000000-0005-0000-0000-000067120000}"/>
    <cellStyle name="Normal 335" xfId="2809" xr:uid="{00000000-0005-0000-0000-000068120000}"/>
    <cellStyle name="Normal 335 2" xfId="2810" xr:uid="{00000000-0005-0000-0000-000069120000}"/>
    <cellStyle name="Normal 335 3" xfId="2811" xr:uid="{00000000-0005-0000-0000-00006A120000}"/>
    <cellStyle name="Normal 335 3 2" xfId="4597" xr:uid="{00000000-0005-0000-0000-00006B120000}"/>
    <cellStyle name="Normal 335 4" xfId="2812" xr:uid="{00000000-0005-0000-0000-00006C120000}"/>
    <cellStyle name="Normal 335 5" xfId="6078" xr:uid="{00000000-0005-0000-0000-00006D120000}"/>
    <cellStyle name="Normal 336" xfId="2813" xr:uid="{00000000-0005-0000-0000-00006E120000}"/>
    <cellStyle name="Normal 336 2" xfId="2814" xr:uid="{00000000-0005-0000-0000-00006F120000}"/>
    <cellStyle name="Normal 336 3" xfId="2815" xr:uid="{00000000-0005-0000-0000-000070120000}"/>
    <cellStyle name="Normal 336 3 2" xfId="4598" xr:uid="{00000000-0005-0000-0000-000071120000}"/>
    <cellStyle name="Normal 336 4" xfId="2816" xr:uid="{00000000-0005-0000-0000-000072120000}"/>
    <cellStyle name="Normal 336 5" xfId="6079" xr:uid="{00000000-0005-0000-0000-000073120000}"/>
    <cellStyle name="Normal 337" xfId="2817" xr:uid="{00000000-0005-0000-0000-000074120000}"/>
    <cellStyle name="Normal 337 2" xfId="2818" xr:uid="{00000000-0005-0000-0000-000075120000}"/>
    <cellStyle name="Normal 337 2 2" xfId="4599" xr:uid="{00000000-0005-0000-0000-000076120000}"/>
    <cellStyle name="Normal 337 3" xfId="6080" xr:uid="{00000000-0005-0000-0000-000077120000}"/>
    <cellStyle name="Normal 338" xfId="2819" xr:uid="{00000000-0005-0000-0000-000078120000}"/>
    <cellStyle name="Normal 338 2" xfId="4600" xr:uid="{00000000-0005-0000-0000-000079120000}"/>
    <cellStyle name="Normal 338 3" xfId="6081" xr:uid="{00000000-0005-0000-0000-00007A120000}"/>
    <cellStyle name="Normal 339" xfId="2820" xr:uid="{00000000-0005-0000-0000-00007B120000}"/>
    <cellStyle name="Normal 339 2" xfId="4601" xr:uid="{00000000-0005-0000-0000-00007C120000}"/>
    <cellStyle name="Normal 339 3" xfId="6082" xr:uid="{00000000-0005-0000-0000-00007D120000}"/>
    <cellStyle name="Normal 34" xfId="2821" xr:uid="{00000000-0005-0000-0000-00007E120000}"/>
    <cellStyle name="Normal 34 2" xfId="2822" xr:uid="{00000000-0005-0000-0000-00007F120000}"/>
    <cellStyle name="Normal 340" xfId="2823" xr:uid="{00000000-0005-0000-0000-000080120000}"/>
    <cellStyle name="Normal 340 2" xfId="4602" xr:uid="{00000000-0005-0000-0000-000081120000}"/>
    <cellStyle name="Normal 340 3" xfId="6083" xr:uid="{00000000-0005-0000-0000-000082120000}"/>
    <cellStyle name="Normal 341" xfId="2824" xr:uid="{00000000-0005-0000-0000-000083120000}"/>
    <cellStyle name="Normal 341 2" xfId="2825" xr:uid="{00000000-0005-0000-0000-000084120000}"/>
    <cellStyle name="Normal 341 2 2" xfId="4604" xr:uid="{00000000-0005-0000-0000-000085120000}"/>
    <cellStyle name="Normal 341 3" xfId="2826" xr:uid="{00000000-0005-0000-0000-000086120000}"/>
    <cellStyle name="Normal 341 4" xfId="4603" xr:uid="{00000000-0005-0000-0000-000087120000}"/>
    <cellStyle name="Normal 341 5" xfId="6084" xr:uid="{00000000-0005-0000-0000-000088120000}"/>
    <cellStyle name="Normal 342" xfId="2827" xr:uid="{00000000-0005-0000-0000-000089120000}"/>
    <cellStyle name="Normal 342 2" xfId="4605" xr:uid="{00000000-0005-0000-0000-00008A120000}"/>
    <cellStyle name="Normal 342 3" xfId="6085" xr:uid="{00000000-0005-0000-0000-00008B120000}"/>
    <cellStyle name="Normal 343" xfId="2828" xr:uid="{00000000-0005-0000-0000-00008C120000}"/>
    <cellStyle name="Normal 343 2" xfId="4606" xr:uid="{00000000-0005-0000-0000-00008D120000}"/>
    <cellStyle name="Normal 343 3" xfId="6086" xr:uid="{00000000-0005-0000-0000-00008E120000}"/>
    <cellStyle name="Normal 344" xfId="2829" xr:uid="{00000000-0005-0000-0000-00008F120000}"/>
    <cellStyle name="Normal 344 2" xfId="4607" xr:uid="{00000000-0005-0000-0000-000090120000}"/>
    <cellStyle name="Normal 344 3" xfId="6087" xr:uid="{00000000-0005-0000-0000-000091120000}"/>
    <cellStyle name="Normal 345" xfId="2830" xr:uid="{00000000-0005-0000-0000-000092120000}"/>
    <cellStyle name="Normal 345 2" xfId="2831" xr:uid="{00000000-0005-0000-0000-000093120000}"/>
    <cellStyle name="Normal 345 3" xfId="2832" xr:uid="{00000000-0005-0000-0000-000094120000}"/>
    <cellStyle name="Normal 345 3 2" xfId="4608" xr:uid="{00000000-0005-0000-0000-000095120000}"/>
    <cellStyle name="Normal 345 4" xfId="6088" xr:uid="{00000000-0005-0000-0000-000096120000}"/>
    <cellStyle name="Normal 346" xfId="2833" xr:uid="{00000000-0005-0000-0000-000097120000}"/>
    <cellStyle name="Normal 346 2" xfId="4609" xr:uid="{00000000-0005-0000-0000-000098120000}"/>
    <cellStyle name="Normal 346 3" xfId="6089" xr:uid="{00000000-0005-0000-0000-000099120000}"/>
    <cellStyle name="Normal 347" xfId="2834" xr:uid="{00000000-0005-0000-0000-00009A120000}"/>
    <cellStyle name="Normal 347 2" xfId="4610" xr:uid="{00000000-0005-0000-0000-00009B120000}"/>
    <cellStyle name="Normal 347 3" xfId="6090" xr:uid="{00000000-0005-0000-0000-00009C120000}"/>
    <cellStyle name="Normal 348" xfId="2835" xr:uid="{00000000-0005-0000-0000-00009D120000}"/>
    <cellStyle name="Normal 348 2" xfId="6091" xr:uid="{00000000-0005-0000-0000-00009E120000}"/>
    <cellStyle name="Normal 349" xfId="2836" xr:uid="{00000000-0005-0000-0000-00009F120000}"/>
    <cellStyle name="Normal 349 2" xfId="4611" xr:uid="{00000000-0005-0000-0000-0000A0120000}"/>
    <cellStyle name="Normal 349 3" xfId="6092" xr:uid="{00000000-0005-0000-0000-0000A1120000}"/>
    <cellStyle name="Normal 35" xfId="2837" xr:uid="{00000000-0005-0000-0000-0000A2120000}"/>
    <cellStyle name="Normal 35 2" xfId="2838" xr:uid="{00000000-0005-0000-0000-0000A3120000}"/>
    <cellStyle name="Normal 35 2 2" xfId="2839" xr:uid="{00000000-0005-0000-0000-0000A4120000}"/>
    <cellStyle name="Normal 35 2 2 2" xfId="6095" xr:uid="{00000000-0005-0000-0000-0000A5120000}"/>
    <cellStyle name="Normal 35 2 3" xfId="6094" xr:uid="{00000000-0005-0000-0000-0000A6120000}"/>
    <cellStyle name="Normal 35 3" xfId="2840" xr:uid="{00000000-0005-0000-0000-0000A7120000}"/>
    <cellStyle name="Normal 35 3 2" xfId="6096" xr:uid="{00000000-0005-0000-0000-0000A8120000}"/>
    <cellStyle name="Normal 35 4" xfId="6093" xr:uid="{00000000-0005-0000-0000-0000A9120000}"/>
    <cellStyle name="Normal 350" xfId="2841" xr:uid="{00000000-0005-0000-0000-0000AA120000}"/>
    <cellStyle name="Normal 350 2" xfId="4612" xr:uid="{00000000-0005-0000-0000-0000AB120000}"/>
    <cellStyle name="Normal 350 3" xfId="6097" xr:uid="{00000000-0005-0000-0000-0000AC120000}"/>
    <cellStyle name="Normal 351" xfId="2842" xr:uid="{00000000-0005-0000-0000-0000AD120000}"/>
    <cellStyle name="Normal 351 2" xfId="4613" xr:uid="{00000000-0005-0000-0000-0000AE120000}"/>
    <cellStyle name="Normal 351 3" xfId="6098" xr:uid="{00000000-0005-0000-0000-0000AF120000}"/>
    <cellStyle name="Normal 352" xfId="2843" xr:uid="{00000000-0005-0000-0000-0000B0120000}"/>
    <cellStyle name="Normal 352 2" xfId="4614" xr:uid="{00000000-0005-0000-0000-0000B1120000}"/>
    <cellStyle name="Normal 352 3" xfId="6099" xr:uid="{00000000-0005-0000-0000-0000B2120000}"/>
    <cellStyle name="Normal 353" xfId="2844" xr:uid="{00000000-0005-0000-0000-0000B3120000}"/>
    <cellStyle name="Normal 353 2" xfId="6100" xr:uid="{00000000-0005-0000-0000-0000B4120000}"/>
    <cellStyle name="Normal 354" xfId="2845" xr:uid="{00000000-0005-0000-0000-0000B5120000}"/>
    <cellStyle name="Normal 354 2" xfId="4615" xr:uid="{00000000-0005-0000-0000-0000B6120000}"/>
    <cellStyle name="Normal 354 3" xfId="6101" xr:uid="{00000000-0005-0000-0000-0000B7120000}"/>
    <cellStyle name="Normal 355" xfId="2846" xr:uid="{00000000-0005-0000-0000-0000B8120000}"/>
    <cellStyle name="Normal 355 2" xfId="4616" xr:uid="{00000000-0005-0000-0000-0000B9120000}"/>
    <cellStyle name="Normal 355 3" xfId="6102" xr:uid="{00000000-0005-0000-0000-0000BA120000}"/>
    <cellStyle name="Normal 356" xfId="2847" xr:uid="{00000000-0005-0000-0000-0000BB120000}"/>
    <cellStyle name="Normal 356 2" xfId="4617" xr:uid="{00000000-0005-0000-0000-0000BC120000}"/>
    <cellStyle name="Normal 356 3" xfId="6103" xr:uid="{00000000-0005-0000-0000-0000BD120000}"/>
    <cellStyle name="Normal 357" xfId="2848" xr:uid="{00000000-0005-0000-0000-0000BE120000}"/>
    <cellStyle name="Normal 357 2" xfId="4618" xr:uid="{00000000-0005-0000-0000-0000BF120000}"/>
    <cellStyle name="Normal 357 3" xfId="6104" xr:uid="{00000000-0005-0000-0000-0000C0120000}"/>
    <cellStyle name="Normal 358" xfId="2849" xr:uid="{00000000-0005-0000-0000-0000C1120000}"/>
    <cellStyle name="Normal 358 2" xfId="4619" xr:uid="{00000000-0005-0000-0000-0000C2120000}"/>
    <cellStyle name="Normal 358 3" xfId="6105" xr:uid="{00000000-0005-0000-0000-0000C3120000}"/>
    <cellStyle name="Normal 359" xfId="2850" xr:uid="{00000000-0005-0000-0000-0000C4120000}"/>
    <cellStyle name="Normal 359 2" xfId="6106" xr:uid="{00000000-0005-0000-0000-0000C5120000}"/>
    <cellStyle name="Normal 36" xfId="2851" xr:uid="{00000000-0005-0000-0000-0000C6120000}"/>
    <cellStyle name="Normal 36 2" xfId="2852" xr:uid="{00000000-0005-0000-0000-0000C7120000}"/>
    <cellStyle name="Normal 36 2 2" xfId="2853" xr:uid="{00000000-0005-0000-0000-0000C8120000}"/>
    <cellStyle name="Normal 36 2 2 2" xfId="6109" xr:uid="{00000000-0005-0000-0000-0000C9120000}"/>
    <cellStyle name="Normal 36 2 3" xfId="6108" xr:uid="{00000000-0005-0000-0000-0000CA120000}"/>
    <cellStyle name="Normal 36 3" xfId="2854" xr:uid="{00000000-0005-0000-0000-0000CB120000}"/>
    <cellStyle name="Normal 36 3 2" xfId="6110" xr:uid="{00000000-0005-0000-0000-0000CC120000}"/>
    <cellStyle name="Normal 36 4" xfId="6107" xr:uid="{00000000-0005-0000-0000-0000CD120000}"/>
    <cellStyle name="Normal 360" xfId="2855" xr:uid="{00000000-0005-0000-0000-0000CE120000}"/>
    <cellStyle name="Normal 360 2" xfId="4620" xr:uid="{00000000-0005-0000-0000-0000CF120000}"/>
    <cellStyle name="Normal 360 3" xfId="6111" xr:uid="{00000000-0005-0000-0000-0000D0120000}"/>
    <cellStyle name="Normal 361" xfId="2856" xr:uid="{00000000-0005-0000-0000-0000D1120000}"/>
    <cellStyle name="Normal 361 2" xfId="4621" xr:uid="{00000000-0005-0000-0000-0000D2120000}"/>
    <cellStyle name="Normal 361 3" xfId="6112" xr:uid="{00000000-0005-0000-0000-0000D3120000}"/>
    <cellStyle name="Normal 362" xfId="2857" xr:uid="{00000000-0005-0000-0000-0000D4120000}"/>
    <cellStyle name="Normal 362 2" xfId="4622" xr:uid="{00000000-0005-0000-0000-0000D5120000}"/>
    <cellStyle name="Normal 362 3" xfId="6113" xr:uid="{00000000-0005-0000-0000-0000D6120000}"/>
    <cellStyle name="Normal 363" xfId="2858" xr:uid="{00000000-0005-0000-0000-0000D7120000}"/>
    <cellStyle name="Normal 363 2" xfId="4623" xr:uid="{00000000-0005-0000-0000-0000D8120000}"/>
    <cellStyle name="Normal 363 3" xfId="6114" xr:uid="{00000000-0005-0000-0000-0000D9120000}"/>
    <cellStyle name="Normal 364" xfId="2859" xr:uid="{00000000-0005-0000-0000-0000DA120000}"/>
    <cellStyle name="Normal 364 2" xfId="4624" xr:uid="{00000000-0005-0000-0000-0000DB120000}"/>
    <cellStyle name="Normal 364 3" xfId="6115" xr:uid="{00000000-0005-0000-0000-0000DC120000}"/>
    <cellStyle name="Normal 365" xfId="2860" xr:uid="{00000000-0005-0000-0000-0000DD120000}"/>
    <cellStyle name="Normal 365 2" xfId="4625" xr:uid="{00000000-0005-0000-0000-0000DE120000}"/>
    <cellStyle name="Normal 365 3" xfId="6116" xr:uid="{00000000-0005-0000-0000-0000DF120000}"/>
    <cellStyle name="Normal 366" xfId="2861" xr:uid="{00000000-0005-0000-0000-0000E0120000}"/>
    <cellStyle name="Normal 366 2" xfId="4626" xr:uid="{00000000-0005-0000-0000-0000E1120000}"/>
    <cellStyle name="Normal 366 3" xfId="6117" xr:uid="{00000000-0005-0000-0000-0000E2120000}"/>
    <cellStyle name="Normal 367" xfId="2862" xr:uid="{00000000-0005-0000-0000-0000E3120000}"/>
    <cellStyle name="Normal 367 2" xfId="4627" xr:uid="{00000000-0005-0000-0000-0000E4120000}"/>
    <cellStyle name="Normal 367 3" xfId="6118" xr:uid="{00000000-0005-0000-0000-0000E5120000}"/>
    <cellStyle name="Normal 368" xfId="2863" xr:uid="{00000000-0005-0000-0000-0000E6120000}"/>
    <cellStyle name="Normal 368 2" xfId="4628" xr:uid="{00000000-0005-0000-0000-0000E7120000}"/>
    <cellStyle name="Normal 368 3" xfId="6119" xr:uid="{00000000-0005-0000-0000-0000E8120000}"/>
    <cellStyle name="Normal 369" xfId="2864" xr:uid="{00000000-0005-0000-0000-0000E9120000}"/>
    <cellStyle name="Normal 369 2" xfId="4629" xr:uid="{00000000-0005-0000-0000-0000EA120000}"/>
    <cellStyle name="Normal 369 3" xfId="6120" xr:uid="{00000000-0005-0000-0000-0000EB120000}"/>
    <cellStyle name="Normal 37" xfId="2865" xr:uid="{00000000-0005-0000-0000-0000EC120000}"/>
    <cellStyle name="Normal 37 2" xfId="2866" xr:uid="{00000000-0005-0000-0000-0000ED120000}"/>
    <cellStyle name="Normal 37 2 2" xfId="2867" xr:uid="{00000000-0005-0000-0000-0000EE120000}"/>
    <cellStyle name="Normal 37 3" xfId="2868" xr:uid="{00000000-0005-0000-0000-0000EF120000}"/>
    <cellStyle name="Normal 370" xfId="2869" xr:uid="{00000000-0005-0000-0000-0000F0120000}"/>
    <cellStyle name="Normal 370 2" xfId="4630" xr:uid="{00000000-0005-0000-0000-0000F1120000}"/>
    <cellStyle name="Normal 371" xfId="2870" xr:uid="{00000000-0005-0000-0000-0000F2120000}"/>
    <cellStyle name="Normal 371 2" xfId="4631" xr:uid="{00000000-0005-0000-0000-0000F3120000}"/>
    <cellStyle name="Normal 372" xfId="2871" xr:uid="{00000000-0005-0000-0000-0000F4120000}"/>
    <cellStyle name="Normal 372 2" xfId="4632" xr:uid="{00000000-0005-0000-0000-0000F5120000}"/>
    <cellStyle name="Normal 373" xfId="2872" xr:uid="{00000000-0005-0000-0000-0000F6120000}"/>
    <cellStyle name="Normal 373 2" xfId="4633" xr:uid="{00000000-0005-0000-0000-0000F7120000}"/>
    <cellStyle name="Normal 374" xfId="2873" xr:uid="{00000000-0005-0000-0000-0000F8120000}"/>
    <cellStyle name="Normal 374 2" xfId="4634" xr:uid="{00000000-0005-0000-0000-0000F9120000}"/>
    <cellStyle name="Normal 375" xfId="2874" xr:uid="{00000000-0005-0000-0000-0000FA120000}"/>
    <cellStyle name="Normal 375 2" xfId="4635" xr:uid="{00000000-0005-0000-0000-0000FB120000}"/>
    <cellStyle name="Normal 376" xfId="2875" xr:uid="{00000000-0005-0000-0000-0000FC120000}"/>
    <cellStyle name="Normal 376 2" xfId="4636" xr:uid="{00000000-0005-0000-0000-0000FD120000}"/>
    <cellStyle name="Normal 377" xfId="2876" xr:uid="{00000000-0005-0000-0000-0000FE120000}"/>
    <cellStyle name="Normal 377 2" xfId="4637" xr:uid="{00000000-0005-0000-0000-0000FF120000}"/>
    <cellStyle name="Normal 378" xfId="2877" xr:uid="{00000000-0005-0000-0000-000000130000}"/>
    <cellStyle name="Normal 378 2" xfId="4638" xr:uid="{00000000-0005-0000-0000-000001130000}"/>
    <cellStyle name="Normal 379" xfId="2878" xr:uid="{00000000-0005-0000-0000-000002130000}"/>
    <cellStyle name="Normal 379 2" xfId="4639" xr:uid="{00000000-0005-0000-0000-000003130000}"/>
    <cellStyle name="Normal 38" xfId="2879" xr:uid="{00000000-0005-0000-0000-000004130000}"/>
    <cellStyle name="Normal 38 2" xfId="2880" xr:uid="{00000000-0005-0000-0000-000005130000}"/>
    <cellStyle name="Normal 380" xfId="2881" xr:uid="{00000000-0005-0000-0000-000006130000}"/>
    <cellStyle name="Normal 380 2" xfId="4640" xr:uid="{00000000-0005-0000-0000-000007130000}"/>
    <cellStyle name="Normal 381" xfId="2882" xr:uid="{00000000-0005-0000-0000-000008130000}"/>
    <cellStyle name="Normal 381 2" xfId="4641" xr:uid="{00000000-0005-0000-0000-000009130000}"/>
    <cellStyle name="Normal 382" xfId="2883" xr:uid="{00000000-0005-0000-0000-00000A130000}"/>
    <cellStyle name="Normal 383" xfId="2884" xr:uid="{00000000-0005-0000-0000-00000B130000}"/>
    <cellStyle name="Normal 383 2" xfId="4642" xr:uid="{00000000-0005-0000-0000-00000C130000}"/>
    <cellStyle name="Normal 384" xfId="2885" xr:uid="{00000000-0005-0000-0000-00000D130000}"/>
    <cellStyle name="Normal 384 2" xfId="4643" xr:uid="{00000000-0005-0000-0000-00000E130000}"/>
    <cellStyle name="Normal 385" xfId="2886" xr:uid="{00000000-0005-0000-0000-00000F130000}"/>
    <cellStyle name="Normal 385 2" xfId="4644" xr:uid="{00000000-0005-0000-0000-000010130000}"/>
    <cellStyle name="Normal 386" xfId="2887" xr:uid="{00000000-0005-0000-0000-000011130000}"/>
    <cellStyle name="Normal 386 2" xfId="4645" xr:uid="{00000000-0005-0000-0000-000012130000}"/>
    <cellStyle name="Normal 387" xfId="2888" xr:uid="{00000000-0005-0000-0000-000013130000}"/>
    <cellStyle name="Normal 387 2" xfId="4646" xr:uid="{00000000-0005-0000-0000-000014130000}"/>
    <cellStyle name="Normal 388" xfId="605" xr:uid="{00000000-0005-0000-0000-000015130000}"/>
    <cellStyle name="Normal 389" xfId="2889" xr:uid="{00000000-0005-0000-0000-000016130000}"/>
    <cellStyle name="Normal 389 2" xfId="4647" xr:uid="{00000000-0005-0000-0000-000017130000}"/>
    <cellStyle name="Normal 39" xfId="2890" xr:uid="{00000000-0005-0000-0000-000018130000}"/>
    <cellStyle name="Normal 39 2" xfId="2891" xr:uid="{00000000-0005-0000-0000-000019130000}"/>
    <cellStyle name="Normal 39 2 2" xfId="6122" xr:uid="{00000000-0005-0000-0000-00001A130000}"/>
    <cellStyle name="Normal 39 3" xfId="6121" xr:uid="{00000000-0005-0000-0000-00001B130000}"/>
    <cellStyle name="Normal 390" xfId="2892" xr:uid="{00000000-0005-0000-0000-00001C130000}"/>
    <cellStyle name="Normal 390 2" xfId="4648" xr:uid="{00000000-0005-0000-0000-00001D130000}"/>
    <cellStyle name="Normal 391" xfId="2893" xr:uid="{00000000-0005-0000-0000-00001E130000}"/>
    <cellStyle name="Normal 391 2" xfId="4649" xr:uid="{00000000-0005-0000-0000-00001F130000}"/>
    <cellStyle name="Normal 392" xfId="2894" xr:uid="{00000000-0005-0000-0000-000020130000}"/>
    <cellStyle name="Normal 392 2" xfId="4650" xr:uid="{00000000-0005-0000-0000-000021130000}"/>
    <cellStyle name="Normal 393" xfId="2895" xr:uid="{00000000-0005-0000-0000-000022130000}"/>
    <cellStyle name="Normal 393 2" xfId="4651" xr:uid="{00000000-0005-0000-0000-000023130000}"/>
    <cellStyle name="Normal 394" xfId="2896" xr:uid="{00000000-0005-0000-0000-000024130000}"/>
    <cellStyle name="Normal 394 2" xfId="4652" xr:uid="{00000000-0005-0000-0000-000025130000}"/>
    <cellStyle name="Normal 395" xfId="2897" xr:uid="{00000000-0005-0000-0000-000026130000}"/>
    <cellStyle name="Normal 395 2" xfId="4653" xr:uid="{00000000-0005-0000-0000-000027130000}"/>
    <cellStyle name="Normal 396" xfId="2898" xr:uid="{00000000-0005-0000-0000-000028130000}"/>
    <cellStyle name="Normal 396 2" xfId="4654" xr:uid="{00000000-0005-0000-0000-000029130000}"/>
    <cellStyle name="Normal 397" xfId="2899" xr:uid="{00000000-0005-0000-0000-00002A130000}"/>
    <cellStyle name="Normal 397 2" xfId="4655" xr:uid="{00000000-0005-0000-0000-00002B130000}"/>
    <cellStyle name="Normal 398" xfId="2900" xr:uid="{00000000-0005-0000-0000-00002C130000}"/>
    <cellStyle name="Normal 398 2" xfId="4656" xr:uid="{00000000-0005-0000-0000-00002D130000}"/>
    <cellStyle name="Normal 399" xfId="4766" xr:uid="{00000000-0005-0000-0000-00002E130000}"/>
    <cellStyle name="Normal 399 2" xfId="6443" xr:uid="{00000000-0005-0000-0000-00002F130000}"/>
    <cellStyle name="Normal 4" xfId="291" xr:uid="{00000000-0005-0000-0000-000030130000}"/>
    <cellStyle name="Normal 4 10" xfId="607" xr:uid="{00000000-0005-0000-0000-000031130000}"/>
    <cellStyle name="Normal 4 10 2" xfId="2902" xr:uid="{00000000-0005-0000-0000-000032130000}"/>
    <cellStyle name="Normal 4 10 2 2" xfId="4658" xr:uid="{00000000-0005-0000-0000-000033130000}"/>
    <cellStyle name="Normal 4 10 3" xfId="6124" xr:uid="{00000000-0005-0000-0000-000034130000}"/>
    <cellStyle name="Normal 4 11" xfId="2903" xr:uid="{00000000-0005-0000-0000-000035130000}"/>
    <cellStyle name="Normal 4 11 2" xfId="4659" xr:uid="{00000000-0005-0000-0000-000036130000}"/>
    <cellStyle name="Normal 4 11 3" xfId="6125" xr:uid="{00000000-0005-0000-0000-000037130000}"/>
    <cellStyle name="Normal 4 12" xfId="2901" xr:uid="{00000000-0005-0000-0000-000038130000}"/>
    <cellStyle name="Normal 4 12 2" xfId="4657" xr:uid="{00000000-0005-0000-0000-000039130000}"/>
    <cellStyle name="Normal 4 13" xfId="413" xr:uid="{00000000-0005-0000-0000-00003A130000}"/>
    <cellStyle name="Normal 4 14" xfId="395" xr:uid="{00000000-0005-0000-0000-00003B130000}"/>
    <cellStyle name="Normal 4 15" xfId="3900" xr:uid="{00000000-0005-0000-0000-00003C130000}"/>
    <cellStyle name="Normal 4 16" xfId="6123" xr:uid="{00000000-0005-0000-0000-00003D130000}"/>
    <cellStyle name="Normal 4 17" xfId="379" xr:uid="{00000000-0005-0000-0000-00003E130000}"/>
    <cellStyle name="Normal 4 2" xfId="369" xr:uid="{00000000-0005-0000-0000-00003F130000}"/>
    <cellStyle name="Normal 4 2 10" xfId="2905" xr:uid="{00000000-0005-0000-0000-000040130000}"/>
    <cellStyle name="Normal 4 2 10 2" xfId="4661" xr:uid="{00000000-0005-0000-0000-000041130000}"/>
    <cellStyle name="Normal 4 2 11" xfId="2904" xr:uid="{00000000-0005-0000-0000-000042130000}"/>
    <cellStyle name="Normal 4 2 11 2" xfId="4660" xr:uid="{00000000-0005-0000-0000-000043130000}"/>
    <cellStyle name="Normal 4 2 12" xfId="3939" xr:uid="{00000000-0005-0000-0000-000044130000}"/>
    <cellStyle name="Normal 4 2 13" xfId="6126" xr:uid="{00000000-0005-0000-0000-000045130000}"/>
    <cellStyle name="Normal 4 2 14" xfId="608" xr:uid="{00000000-0005-0000-0000-000046130000}"/>
    <cellStyle name="Normal 4 2 15" xfId="6484" xr:uid="{00000000-0005-0000-0000-000047130000}"/>
    <cellStyle name="Normal 4 2 2" xfId="2906" xr:uid="{00000000-0005-0000-0000-000048130000}"/>
    <cellStyle name="Normal 4 2 2 2" xfId="2907" xr:uid="{00000000-0005-0000-0000-000049130000}"/>
    <cellStyle name="Normal 4 2 2 2 2" xfId="4663" xr:uid="{00000000-0005-0000-0000-00004A130000}"/>
    <cellStyle name="Normal 4 2 2 2 3" xfId="6128" xr:uid="{00000000-0005-0000-0000-00004B130000}"/>
    <cellStyle name="Normal 4 2 2 3" xfId="4662" xr:uid="{00000000-0005-0000-0000-00004C130000}"/>
    <cellStyle name="Normal 4 2 2 4" xfId="6127" xr:uid="{00000000-0005-0000-0000-00004D130000}"/>
    <cellStyle name="Normal 4 2 3" xfId="2908" xr:uid="{00000000-0005-0000-0000-00004E130000}"/>
    <cellStyle name="Normal 4 2 3 2" xfId="2909" xr:uid="{00000000-0005-0000-0000-00004F130000}"/>
    <cellStyle name="Normal 4 2 3 2 2" xfId="4665" xr:uid="{00000000-0005-0000-0000-000050130000}"/>
    <cellStyle name="Normal 4 2 3 2 3" xfId="6129" xr:uid="{00000000-0005-0000-0000-000051130000}"/>
    <cellStyle name="Normal 4 2 3 3" xfId="2910" xr:uid="{00000000-0005-0000-0000-000052130000}"/>
    <cellStyle name="Normal 4 2 3 4" xfId="4664" xr:uid="{00000000-0005-0000-0000-000053130000}"/>
    <cellStyle name="Normal 4 2 4" xfId="2911" xr:uid="{00000000-0005-0000-0000-000054130000}"/>
    <cellStyle name="Normal 4 2 4 2" xfId="2912" xr:uid="{00000000-0005-0000-0000-000055130000}"/>
    <cellStyle name="Normal 4 2 4 2 2" xfId="4667" xr:uid="{00000000-0005-0000-0000-000056130000}"/>
    <cellStyle name="Normal 4 2 4 2 3" xfId="6131" xr:uid="{00000000-0005-0000-0000-000057130000}"/>
    <cellStyle name="Normal 4 2 4 3" xfId="4666" xr:uid="{00000000-0005-0000-0000-000058130000}"/>
    <cellStyle name="Normal 4 2 4 4" xfId="6130" xr:uid="{00000000-0005-0000-0000-000059130000}"/>
    <cellStyle name="Normal 4 2 5" xfId="2913" xr:uid="{00000000-0005-0000-0000-00005A130000}"/>
    <cellStyle name="Normal 4 2 5 2" xfId="2914" xr:uid="{00000000-0005-0000-0000-00005B130000}"/>
    <cellStyle name="Normal 4 2 5 2 2" xfId="6133" xr:uid="{00000000-0005-0000-0000-00005C130000}"/>
    <cellStyle name="Normal 4 2 5 3" xfId="6132" xr:uid="{00000000-0005-0000-0000-00005D130000}"/>
    <cellStyle name="Normal 4 2 6" xfId="2915" xr:uid="{00000000-0005-0000-0000-00005E130000}"/>
    <cellStyle name="Normal 4 2 7" xfId="2916" xr:uid="{00000000-0005-0000-0000-00005F130000}"/>
    <cellStyle name="Normal 4 2 8" xfId="2917" xr:uid="{00000000-0005-0000-0000-000060130000}"/>
    <cellStyle name="Normal 4 2 8 2" xfId="6134" xr:uid="{00000000-0005-0000-0000-000061130000}"/>
    <cellStyle name="Normal 4 2 9" xfId="2918" xr:uid="{00000000-0005-0000-0000-000062130000}"/>
    <cellStyle name="Normal 4 3" xfId="609" xr:uid="{00000000-0005-0000-0000-000063130000}"/>
    <cellStyle name="Normal 4 3 2" xfId="2920" xr:uid="{00000000-0005-0000-0000-000064130000}"/>
    <cellStyle name="Normal 4 3 2 2" xfId="2921" xr:uid="{00000000-0005-0000-0000-000065130000}"/>
    <cellStyle name="Normal 4 3 2 2 2" xfId="4670" xr:uid="{00000000-0005-0000-0000-000066130000}"/>
    <cellStyle name="Normal 4 3 2 2 3" xfId="6136" xr:uid="{00000000-0005-0000-0000-000067130000}"/>
    <cellStyle name="Normal 4 3 2 3" xfId="4669" xr:uid="{00000000-0005-0000-0000-000068130000}"/>
    <cellStyle name="Normal 4 3 2 4" xfId="6135" xr:uid="{00000000-0005-0000-0000-000069130000}"/>
    <cellStyle name="Normal 4 3 3" xfId="2922" xr:uid="{00000000-0005-0000-0000-00006A130000}"/>
    <cellStyle name="Normal 4 3 3 2" xfId="2923" xr:uid="{00000000-0005-0000-0000-00006B130000}"/>
    <cellStyle name="Normal 4 3 3 2 2" xfId="4672" xr:uid="{00000000-0005-0000-0000-00006C130000}"/>
    <cellStyle name="Normal 4 3 3 2 3" xfId="6138" xr:uid="{00000000-0005-0000-0000-00006D130000}"/>
    <cellStyle name="Normal 4 3 3 3" xfId="4671" xr:uid="{00000000-0005-0000-0000-00006E130000}"/>
    <cellStyle name="Normal 4 3 3 4" xfId="6137" xr:uid="{00000000-0005-0000-0000-00006F130000}"/>
    <cellStyle name="Normal 4 3 4" xfId="2924" xr:uid="{00000000-0005-0000-0000-000070130000}"/>
    <cellStyle name="Normal 4 3 4 2" xfId="2925" xr:uid="{00000000-0005-0000-0000-000071130000}"/>
    <cellStyle name="Normal 4 3 5" xfId="2919" xr:uid="{00000000-0005-0000-0000-000072130000}"/>
    <cellStyle name="Normal 4 3 5 2" xfId="4668" xr:uid="{00000000-0005-0000-0000-000073130000}"/>
    <cellStyle name="Normal 4 3 6" xfId="3940" xr:uid="{00000000-0005-0000-0000-000074130000}"/>
    <cellStyle name="Normal 4 4" xfId="606" xr:uid="{00000000-0005-0000-0000-000075130000}"/>
    <cellStyle name="Normal 4 4 2" xfId="2927" xr:uid="{00000000-0005-0000-0000-000076130000}"/>
    <cellStyle name="Normal 4 4 2 2" xfId="2928" xr:uid="{00000000-0005-0000-0000-000077130000}"/>
    <cellStyle name="Normal 4 4 2 2 2" xfId="4675" xr:uid="{00000000-0005-0000-0000-000078130000}"/>
    <cellStyle name="Normal 4 4 2 2 3" xfId="6141" xr:uid="{00000000-0005-0000-0000-000079130000}"/>
    <cellStyle name="Normal 4 4 2 3" xfId="4674" xr:uid="{00000000-0005-0000-0000-00007A130000}"/>
    <cellStyle name="Normal 4 4 2 4" xfId="6140" xr:uid="{00000000-0005-0000-0000-00007B130000}"/>
    <cellStyle name="Normal 4 4 3" xfId="2929" xr:uid="{00000000-0005-0000-0000-00007C130000}"/>
    <cellStyle name="Normal 4 4 3 2" xfId="4676" xr:uid="{00000000-0005-0000-0000-00007D130000}"/>
    <cellStyle name="Normal 4 4 3 3" xfId="6142" xr:uid="{00000000-0005-0000-0000-00007E130000}"/>
    <cellStyle name="Normal 4 4 4" xfId="2926" xr:uid="{00000000-0005-0000-0000-00007F130000}"/>
    <cellStyle name="Normal 4 4 4 2" xfId="4673" xr:uid="{00000000-0005-0000-0000-000080130000}"/>
    <cellStyle name="Normal 4 4 5" xfId="3938" xr:uid="{00000000-0005-0000-0000-000081130000}"/>
    <cellStyle name="Normal 4 4 6" xfId="6139" xr:uid="{00000000-0005-0000-0000-000082130000}"/>
    <cellStyle name="Normal 4 5" xfId="2930" xr:uid="{00000000-0005-0000-0000-000083130000}"/>
    <cellStyle name="Normal 4 5 2" xfId="2931" xr:uid="{00000000-0005-0000-0000-000084130000}"/>
    <cellStyle name="Normal 4 5 2 2" xfId="4678" xr:uid="{00000000-0005-0000-0000-000085130000}"/>
    <cellStyle name="Normal 4 5 2 3" xfId="6144" xr:uid="{00000000-0005-0000-0000-000086130000}"/>
    <cellStyle name="Normal 4 5 3" xfId="4677" xr:uid="{00000000-0005-0000-0000-000087130000}"/>
    <cellStyle name="Normal 4 5 4" xfId="6143" xr:uid="{00000000-0005-0000-0000-000088130000}"/>
    <cellStyle name="Normal 4 6" xfId="2932" xr:uid="{00000000-0005-0000-0000-000089130000}"/>
    <cellStyle name="Normal 4 6 2" xfId="2933" xr:uid="{00000000-0005-0000-0000-00008A130000}"/>
    <cellStyle name="Normal 4 6 2 2" xfId="4680" xr:uid="{00000000-0005-0000-0000-00008B130000}"/>
    <cellStyle name="Normal 4 6 2 3" xfId="6146" xr:uid="{00000000-0005-0000-0000-00008C130000}"/>
    <cellStyle name="Normal 4 6 3" xfId="4679" xr:uid="{00000000-0005-0000-0000-00008D130000}"/>
    <cellStyle name="Normal 4 6 4" xfId="6145" xr:uid="{00000000-0005-0000-0000-00008E130000}"/>
    <cellStyle name="Normal 4 7" xfId="2934" xr:uid="{00000000-0005-0000-0000-00008F130000}"/>
    <cellStyle name="Normal 4 7 2" xfId="2935" xr:uid="{00000000-0005-0000-0000-000090130000}"/>
    <cellStyle name="Normal 4 7 2 2" xfId="4682" xr:uid="{00000000-0005-0000-0000-000091130000}"/>
    <cellStyle name="Normal 4 7 2 3" xfId="6148" xr:uid="{00000000-0005-0000-0000-000092130000}"/>
    <cellStyle name="Normal 4 7 3" xfId="4681" xr:uid="{00000000-0005-0000-0000-000093130000}"/>
    <cellStyle name="Normal 4 7 4" xfId="6147" xr:uid="{00000000-0005-0000-0000-000094130000}"/>
    <cellStyle name="Normal 4 8" xfId="2936" xr:uid="{00000000-0005-0000-0000-000095130000}"/>
    <cellStyle name="Normal 4 8 2" xfId="2937" xr:uid="{00000000-0005-0000-0000-000096130000}"/>
    <cellStyle name="Normal 4 8 2 2" xfId="4684" xr:uid="{00000000-0005-0000-0000-000097130000}"/>
    <cellStyle name="Normal 4 8 2 3" xfId="6150" xr:uid="{00000000-0005-0000-0000-000098130000}"/>
    <cellStyle name="Normal 4 8 3" xfId="4683" xr:uid="{00000000-0005-0000-0000-000099130000}"/>
    <cellStyle name="Normal 4 8 4" xfId="6149" xr:uid="{00000000-0005-0000-0000-00009A130000}"/>
    <cellStyle name="Normal 4 9" xfId="2938" xr:uid="{00000000-0005-0000-0000-00009B130000}"/>
    <cellStyle name="Normal 4 9 2" xfId="2939" xr:uid="{00000000-0005-0000-0000-00009C130000}"/>
    <cellStyle name="Normal 4 9 2 2" xfId="6152" xr:uid="{00000000-0005-0000-0000-00009D130000}"/>
    <cellStyle name="Normal 4 9 3" xfId="6151" xr:uid="{00000000-0005-0000-0000-00009E130000}"/>
    <cellStyle name="Normal 40" xfId="2940" xr:uid="{00000000-0005-0000-0000-00009F130000}"/>
    <cellStyle name="Normal 40 2" xfId="2941" xr:uid="{00000000-0005-0000-0000-0000A0130000}"/>
    <cellStyle name="Normal 40 2 2" xfId="6154" xr:uid="{00000000-0005-0000-0000-0000A1130000}"/>
    <cellStyle name="Normal 40 3" xfId="6153" xr:uid="{00000000-0005-0000-0000-0000A2130000}"/>
    <cellStyle name="Normal 400" xfId="380" xr:uid="{00000000-0005-0000-0000-0000A3130000}"/>
    <cellStyle name="Normal 401" xfId="6500" xr:uid="{00000000-0005-0000-0000-0000A4130000}"/>
    <cellStyle name="Normal 402" xfId="6488" xr:uid="{00000000-0005-0000-0000-0000A5130000}"/>
    <cellStyle name="Normal 403" xfId="375" xr:uid="{00000000-0005-0000-0000-0000A6130000}"/>
    <cellStyle name="Normal 404" xfId="6454" xr:uid="{00000000-0005-0000-0000-0000A7130000}"/>
    <cellStyle name="Normal 405" xfId="6453" xr:uid="{00000000-0005-0000-0000-0000A8130000}"/>
    <cellStyle name="Normal 406" xfId="6456" xr:uid="{00000000-0005-0000-0000-0000A9130000}"/>
    <cellStyle name="Normal 41" xfId="2942" xr:uid="{00000000-0005-0000-0000-0000AA130000}"/>
    <cellStyle name="Normal 41 2" xfId="2943" xr:uid="{00000000-0005-0000-0000-0000AB130000}"/>
    <cellStyle name="Normal 41 2 2" xfId="6156" xr:uid="{00000000-0005-0000-0000-0000AC130000}"/>
    <cellStyle name="Normal 41 3" xfId="6155" xr:uid="{00000000-0005-0000-0000-0000AD130000}"/>
    <cellStyle name="Normal 42" xfId="2944" xr:uid="{00000000-0005-0000-0000-0000AE130000}"/>
    <cellStyle name="Normal 42 2" xfId="2945" xr:uid="{00000000-0005-0000-0000-0000AF130000}"/>
    <cellStyle name="Normal 42 2 2" xfId="6158" xr:uid="{00000000-0005-0000-0000-0000B0130000}"/>
    <cellStyle name="Normal 42 3" xfId="6157" xr:uid="{00000000-0005-0000-0000-0000B1130000}"/>
    <cellStyle name="Normal 43" xfId="2946" xr:uid="{00000000-0005-0000-0000-0000B2130000}"/>
    <cellStyle name="Normal 43 2" xfId="2947" xr:uid="{00000000-0005-0000-0000-0000B3130000}"/>
    <cellStyle name="Normal 43 2 2" xfId="6160" xr:uid="{00000000-0005-0000-0000-0000B4130000}"/>
    <cellStyle name="Normal 43 3" xfId="6159" xr:uid="{00000000-0005-0000-0000-0000B5130000}"/>
    <cellStyle name="Normal 44" xfId="2948" xr:uid="{00000000-0005-0000-0000-0000B6130000}"/>
    <cellStyle name="Normal 44 2" xfId="2949" xr:uid="{00000000-0005-0000-0000-0000B7130000}"/>
    <cellStyle name="Normal 44 2 2" xfId="6162" xr:uid="{00000000-0005-0000-0000-0000B8130000}"/>
    <cellStyle name="Normal 44 3" xfId="6161" xr:uid="{00000000-0005-0000-0000-0000B9130000}"/>
    <cellStyle name="Normal 45" xfId="2950" xr:uid="{00000000-0005-0000-0000-0000BA130000}"/>
    <cellStyle name="Normal 45 2" xfId="2951" xr:uid="{00000000-0005-0000-0000-0000BB130000}"/>
    <cellStyle name="Normal 46" xfId="2952" xr:uid="{00000000-0005-0000-0000-0000BC130000}"/>
    <cellStyle name="Normal 46 2" xfId="2953" xr:uid="{00000000-0005-0000-0000-0000BD130000}"/>
    <cellStyle name="Normal 47" xfId="2954" xr:uid="{00000000-0005-0000-0000-0000BE130000}"/>
    <cellStyle name="Normal 47 2" xfId="2955" xr:uid="{00000000-0005-0000-0000-0000BF130000}"/>
    <cellStyle name="Normal 48" xfId="2956" xr:uid="{00000000-0005-0000-0000-0000C0130000}"/>
    <cellStyle name="Normal 48 2" xfId="2957" xr:uid="{00000000-0005-0000-0000-0000C1130000}"/>
    <cellStyle name="Normal 487" xfId="2958" xr:uid="{00000000-0005-0000-0000-0000C2130000}"/>
    <cellStyle name="Normal 487 2" xfId="4685" xr:uid="{00000000-0005-0000-0000-0000C3130000}"/>
    <cellStyle name="Normal 488" xfId="2959" xr:uid="{00000000-0005-0000-0000-0000C4130000}"/>
    <cellStyle name="Normal 488 2" xfId="4686" xr:uid="{00000000-0005-0000-0000-0000C5130000}"/>
    <cellStyle name="Normal 49" xfId="2960" xr:uid="{00000000-0005-0000-0000-0000C6130000}"/>
    <cellStyle name="Normal 49 2" xfId="2961" xr:uid="{00000000-0005-0000-0000-0000C7130000}"/>
    <cellStyle name="Normal 5" xfId="421" xr:uid="{00000000-0005-0000-0000-0000C8130000}"/>
    <cellStyle name="Normal 5 2" xfId="610" xr:uid="{00000000-0005-0000-0000-0000C9130000}"/>
    <cellStyle name="Normal 5 2 2" xfId="611" xr:uid="{00000000-0005-0000-0000-0000CA130000}"/>
    <cellStyle name="Normal 5 2 2 2" xfId="2963" xr:uid="{00000000-0005-0000-0000-0000CB130000}"/>
    <cellStyle name="Normal 5 2 2 2 2" xfId="2964" xr:uid="{00000000-0005-0000-0000-0000CC130000}"/>
    <cellStyle name="Normal 5 2 2 2 3" xfId="2965" xr:uid="{00000000-0005-0000-0000-0000CD130000}"/>
    <cellStyle name="Normal 5 2 2 2 4" xfId="2966" xr:uid="{00000000-0005-0000-0000-0000CE130000}"/>
    <cellStyle name="Normal 5 2 2 3" xfId="2962" xr:uid="{00000000-0005-0000-0000-0000CF130000}"/>
    <cellStyle name="Normal 5 2 2 3 2" xfId="6163" xr:uid="{00000000-0005-0000-0000-0000D0130000}"/>
    <cellStyle name="Normal 5 2 3" xfId="612" xr:uid="{00000000-0005-0000-0000-0000D1130000}"/>
    <cellStyle name="Normal 5 2 3 2" xfId="613" xr:uid="{00000000-0005-0000-0000-0000D2130000}"/>
    <cellStyle name="Normal 5 2 3 2 2" xfId="2969" xr:uid="{00000000-0005-0000-0000-0000D3130000}"/>
    <cellStyle name="Normal 5 2 3 2 3" xfId="2968" xr:uid="{00000000-0005-0000-0000-0000D4130000}"/>
    <cellStyle name="Normal 5 2 3 3" xfId="2970" xr:uid="{00000000-0005-0000-0000-0000D5130000}"/>
    <cellStyle name="Normal 5 2 3 4" xfId="2971" xr:uid="{00000000-0005-0000-0000-0000D6130000}"/>
    <cellStyle name="Normal 5 2 3 5" xfId="2972" xr:uid="{00000000-0005-0000-0000-0000D7130000}"/>
    <cellStyle name="Normal 5 2 3 6" xfId="2973" xr:uid="{00000000-0005-0000-0000-0000D8130000}"/>
    <cellStyle name="Normal 5 2 3 7" xfId="2967" xr:uid="{00000000-0005-0000-0000-0000D9130000}"/>
    <cellStyle name="Normal 5 2 3 8" xfId="6164" xr:uid="{00000000-0005-0000-0000-0000DA130000}"/>
    <cellStyle name="Normal 5 2 4" xfId="614" xr:uid="{00000000-0005-0000-0000-0000DB130000}"/>
    <cellStyle name="Normal 5 2 4 2" xfId="2975" xr:uid="{00000000-0005-0000-0000-0000DC130000}"/>
    <cellStyle name="Normal 5 2 4 3" xfId="2976" xr:uid="{00000000-0005-0000-0000-0000DD130000}"/>
    <cellStyle name="Normal 5 2 4 4" xfId="2974" xr:uid="{00000000-0005-0000-0000-0000DE130000}"/>
    <cellStyle name="Normal 5 2 4 4 2" xfId="4687" xr:uid="{00000000-0005-0000-0000-0000DF130000}"/>
    <cellStyle name="Normal 5 2 5" xfId="615" xr:uid="{00000000-0005-0000-0000-0000E0130000}"/>
    <cellStyle name="Normal 5 2 5 2" xfId="2978" xr:uid="{00000000-0005-0000-0000-0000E1130000}"/>
    <cellStyle name="Normal 5 2 5 3" xfId="2977" xr:uid="{00000000-0005-0000-0000-0000E2130000}"/>
    <cellStyle name="Normal 5 2 6" xfId="2979" xr:uid="{00000000-0005-0000-0000-0000E3130000}"/>
    <cellStyle name="Normal 5 2 7" xfId="2980" xr:uid="{00000000-0005-0000-0000-0000E4130000}"/>
    <cellStyle name="Normal 5 2 7 2" xfId="4688" xr:uid="{00000000-0005-0000-0000-0000E5130000}"/>
    <cellStyle name="Normal 5 2 8" xfId="2981" xr:uid="{00000000-0005-0000-0000-0000E6130000}"/>
    <cellStyle name="Normal 5 2 8 2" xfId="4689" xr:uid="{00000000-0005-0000-0000-0000E7130000}"/>
    <cellStyle name="Normal 5 3" xfId="616" xr:uid="{00000000-0005-0000-0000-0000E8130000}"/>
    <cellStyle name="Normal 5 3 2" xfId="2983" xr:uid="{00000000-0005-0000-0000-0000E9130000}"/>
    <cellStyle name="Normal 5 3 2 2" xfId="2984" xr:uid="{00000000-0005-0000-0000-0000EA130000}"/>
    <cellStyle name="Normal 5 3 2 2 2" xfId="2985" xr:uid="{00000000-0005-0000-0000-0000EB130000}"/>
    <cellStyle name="Normal 5 3 2 3" xfId="2986" xr:uid="{00000000-0005-0000-0000-0000EC130000}"/>
    <cellStyle name="Normal 5 3 2 4" xfId="2987" xr:uid="{00000000-0005-0000-0000-0000ED130000}"/>
    <cellStyle name="Normal 5 3 2 5" xfId="2988" xr:uid="{00000000-0005-0000-0000-0000EE130000}"/>
    <cellStyle name="Normal 5 3 3" xfId="2989" xr:uid="{00000000-0005-0000-0000-0000EF130000}"/>
    <cellStyle name="Normal 5 3 3 2" xfId="2990" xr:uid="{00000000-0005-0000-0000-0000F0130000}"/>
    <cellStyle name="Normal 5 3 3 2 2" xfId="4692" xr:uid="{00000000-0005-0000-0000-0000F1130000}"/>
    <cellStyle name="Normal 5 3 3 3" xfId="2991" xr:uid="{00000000-0005-0000-0000-0000F2130000}"/>
    <cellStyle name="Normal 5 3 3 4" xfId="4691" xr:uid="{00000000-0005-0000-0000-0000F3130000}"/>
    <cellStyle name="Normal 5 3 3 5" xfId="6165" xr:uid="{00000000-0005-0000-0000-0000F4130000}"/>
    <cellStyle name="Normal 5 3 4" xfId="2992" xr:uid="{00000000-0005-0000-0000-0000F5130000}"/>
    <cellStyle name="Normal 5 3 5" xfId="2982" xr:uid="{00000000-0005-0000-0000-0000F6130000}"/>
    <cellStyle name="Normal 5 3 5 2" xfId="4690" xr:uid="{00000000-0005-0000-0000-0000F7130000}"/>
    <cellStyle name="Normal 5 4" xfId="617" xr:uid="{00000000-0005-0000-0000-0000F8130000}"/>
    <cellStyle name="Normal 5 4 2" xfId="618" xr:uid="{00000000-0005-0000-0000-0000F9130000}"/>
    <cellStyle name="Normal 5 4 2 2" xfId="619" xr:uid="{00000000-0005-0000-0000-0000FA130000}"/>
    <cellStyle name="Normal 5 4 2 2 2" xfId="2996" xr:uid="{00000000-0005-0000-0000-0000FB130000}"/>
    <cellStyle name="Normal 5 4 2 2 3" xfId="2995" xr:uid="{00000000-0005-0000-0000-0000FC130000}"/>
    <cellStyle name="Normal 5 4 2 3" xfId="2997" xr:uid="{00000000-0005-0000-0000-0000FD130000}"/>
    <cellStyle name="Normal 5 4 2 4" xfId="2998" xr:uid="{00000000-0005-0000-0000-0000FE130000}"/>
    <cellStyle name="Normal 5 4 2 5" xfId="2999" xr:uid="{00000000-0005-0000-0000-0000FF130000}"/>
    <cellStyle name="Normal 5 4 2 6" xfId="2994" xr:uid="{00000000-0005-0000-0000-000000140000}"/>
    <cellStyle name="Normal 5 4 2 7" xfId="6166" xr:uid="{00000000-0005-0000-0000-000001140000}"/>
    <cellStyle name="Normal 5 4 3" xfId="620" xr:uid="{00000000-0005-0000-0000-000002140000}"/>
    <cellStyle name="Normal 5 4 3 2" xfId="3001" xr:uid="{00000000-0005-0000-0000-000003140000}"/>
    <cellStyle name="Normal 5 4 3 3" xfId="3002" xr:uid="{00000000-0005-0000-0000-000004140000}"/>
    <cellStyle name="Normal 5 4 3 4" xfId="3003" xr:uid="{00000000-0005-0000-0000-000005140000}"/>
    <cellStyle name="Normal 5 4 3 4 2" xfId="4695" xr:uid="{00000000-0005-0000-0000-000006140000}"/>
    <cellStyle name="Normal 5 4 3 5" xfId="3004" xr:uid="{00000000-0005-0000-0000-000007140000}"/>
    <cellStyle name="Normal 5 4 3 6" xfId="3000" xr:uid="{00000000-0005-0000-0000-000008140000}"/>
    <cellStyle name="Normal 5 4 3 6 2" xfId="4694" xr:uid="{00000000-0005-0000-0000-000009140000}"/>
    <cellStyle name="Normal 5 4 4" xfId="621" xr:uid="{00000000-0005-0000-0000-00000A140000}"/>
    <cellStyle name="Normal 5 4 4 2" xfId="3006" xr:uid="{00000000-0005-0000-0000-00000B140000}"/>
    <cellStyle name="Normal 5 4 4 3" xfId="3007" xr:uid="{00000000-0005-0000-0000-00000C140000}"/>
    <cellStyle name="Normal 5 4 4 3 2" xfId="4696" xr:uid="{00000000-0005-0000-0000-00000D140000}"/>
    <cellStyle name="Normal 5 4 4 4" xfId="3005" xr:uid="{00000000-0005-0000-0000-00000E140000}"/>
    <cellStyle name="Normal 5 4 5" xfId="3008" xr:uid="{00000000-0005-0000-0000-00000F140000}"/>
    <cellStyle name="Normal 5 4 6" xfId="3009" xr:uid="{00000000-0005-0000-0000-000010140000}"/>
    <cellStyle name="Normal 5 4 7" xfId="2993" xr:uid="{00000000-0005-0000-0000-000011140000}"/>
    <cellStyle name="Normal 5 4 7 2" xfId="4693" xr:uid="{00000000-0005-0000-0000-000012140000}"/>
    <cellStyle name="Normal 5 5" xfId="622" xr:uid="{00000000-0005-0000-0000-000013140000}"/>
    <cellStyle name="Normal 5 5 2" xfId="623" xr:uid="{00000000-0005-0000-0000-000014140000}"/>
    <cellStyle name="Normal 5 5 2 2" xfId="3012" xr:uid="{00000000-0005-0000-0000-000015140000}"/>
    <cellStyle name="Normal 5 5 2 3" xfId="3011" xr:uid="{00000000-0005-0000-0000-000016140000}"/>
    <cellStyle name="Normal 5 5 3" xfId="3013" xr:uid="{00000000-0005-0000-0000-000017140000}"/>
    <cellStyle name="Normal 5 5 3 2" xfId="3014" xr:uid="{00000000-0005-0000-0000-000018140000}"/>
    <cellStyle name="Normal 5 5 3 3" xfId="4698" xr:uid="{00000000-0005-0000-0000-000019140000}"/>
    <cellStyle name="Normal 5 5 4" xfId="3015" xr:uid="{00000000-0005-0000-0000-00001A140000}"/>
    <cellStyle name="Normal 5 5 4 2" xfId="4699" xr:uid="{00000000-0005-0000-0000-00001B140000}"/>
    <cellStyle name="Normal 5 5 5" xfId="3016" xr:uid="{00000000-0005-0000-0000-00001C140000}"/>
    <cellStyle name="Normal 5 5 6" xfId="3017" xr:uid="{00000000-0005-0000-0000-00001D140000}"/>
    <cellStyle name="Normal 5 5 7" xfId="3018" xr:uid="{00000000-0005-0000-0000-00001E140000}"/>
    <cellStyle name="Normal 5 5 8" xfId="3010" xr:uid="{00000000-0005-0000-0000-00001F140000}"/>
    <cellStyle name="Normal 5 5 8 2" xfId="4697" xr:uid="{00000000-0005-0000-0000-000020140000}"/>
    <cellStyle name="Normal 5 6" xfId="624" xr:uid="{00000000-0005-0000-0000-000021140000}"/>
    <cellStyle name="Normal 5 6 2" xfId="3019" xr:uid="{00000000-0005-0000-0000-000022140000}"/>
    <cellStyle name="Normal 5 6 3" xfId="3020" xr:uid="{00000000-0005-0000-0000-000023140000}"/>
    <cellStyle name="Normal 5 6 3 2" xfId="3021" xr:uid="{00000000-0005-0000-0000-000024140000}"/>
    <cellStyle name="Normal 5 6 3 2 2" xfId="4700" xr:uid="{00000000-0005-0000-0000-000025140000}"/>
    <cellStyle name="Normal 5 6 4" xfId="3022" xr:uid="{00000000-0005-0000-0000-000026140000}"/>
    <cellStyle name="Normal 5 6 5" xfId="3023" xr:uid="{00000000-0005-0000-0000-000027140000}"/>
    <cellStyle name="Normal 5 6 5 2" xfId="4701" xr:uid="{00000000-0005-0000-0000-000028140000}"/>
    <cellStyle name="Normal 5 6 6" xfId="6167" xr:uid="{00000000-0005-0000-0000-000029140000}"/>
    <cellStyle name="Normal 5 7" xfId="3024" xr:uid="{00000000-0005-0000-0000-00002A140000}"/>
    <cellStyle name="Normal 5 7 2" xfId="3025" xr:uid="{00000000-0005-0000-0000-00002B140000}"/>
    <cellStyle name="Normal 5 7 3" xfId="4702" xr:uid="{00000000-0005-0000-0000-00002C140000}"/>
    <cellStyle name="Normal 5 8" xfId="3026" xr:uid="{00000000-0005-0000-0000-00002D140000}"/>
    <cellStyle name="Normal 5 8 2" xfId="4703" xr:uid="{00000000-0005-0000-0000-00002E140000}"/>
    <cellStyle name="Normal 5 9" xfId="4767" xr:uid="{00000000-0005-0000-0000-00002F140000}"/>
    <cellStyle name="Normal 50" xfId="3027" xr:uid="{00000000-0005-0000-0000-000030140000}"/>
    <cellStyle name="Normal 50 2" xfId="3028" xr:uid="{00000000-0005-0000-0000-000031140000}"/>
    <cellStyle name="Normal 51" xfId="3029" xr:uid="{00000000-0005-0000-0000-000032140000}"/>
    <cellStyle name="Normal 51 2" xfId="3030" xr:uid="{00000000-0005-0000-0000-000033140000}"/>
    <cellStyle name="Normal 51 2 2" xfId="3031" xr:uid="{00000000-0005-0000-0000-000034140000}"/>
    <cellStyle name="Normal 51 3" xfId="3032" xr:uid="{00000000-0005-0000-0000-000035140000}"/>
    <cellStyle name="Normal 51 3 2" xfId="3033" xr:uid="{00000000-0005-0000-0000-000036140000}"/>
    <cellStyle name="Normal 51 3 3" xfId="3034" xr:uid="{00000000-0005-0000-0000-000037140000}"/>
    <cellStyle name="Normal 51 3 3 2" xfId="3035" xr:uid="{00000000-0005-0000-0000-000038140000}"/>
    <cellStyle name="Normal 51 3 3 3" xfId="3036" xr:uid="{00000000-0005-0000-0000-000039140000}"/>
    <cellStyle name="Normal 51 3 4" xfId="3037" xr:uid="{00000000-0005-0000-0000-00003A140000}"/>
    <cellStyle name="Normal 51 4" xfId="3038" xr:uid="{00000000-0005-0000-0000-00003B140000}"/>
    <cellStyle name="Normal 51 4 2" xfId="3039" xr:uid="{00000000-0005-0000-0000-00003C140000}"/>
    <cellStyle name="Normal 51 4 3" xfId="3040" xr:uid="{00000000-0005-0000-0000-00003D140000}"/>
    <cellStyle name="Normal 51 4 4" xfId="3041" xr:uid="{00000000-0005-0000-0000-00003E140000}"/>
    <cellStyle name="Normal 51 4 5" xfId="3042" xr:uid="{00000000-0005-0000-0000-00003F140000}"/>
    <cellStyle name="Normal 51 5" xfId="3043" xr:uid="{00000000-0005-0000-0000-000040140000}"/>
    <cellStyle name="Normal 52" xfId="3044" xr:uid="{00000000-0005-0000-0000-000041140000}"/>
    <cellStyle name="Normal 52 2" xfId="3045" xr:uid="{00000000-0005-0000-0000-000042140000}"/>
    <cellStyle name="Normal 52 2 2" xfId="3046" xr:uid="{00000000-0005-0000-0000-000043140000}"/>
    <cellStyle name="Normal 52 3" xfId="3047" xr:uid="{00000000-0005-0000-0000-000044140000}"/>
    <cellStyle name="Normal 52 3 2" xfId="3048" xr:uid="{00000000-0005-0000-0000-000045140000}"/>
    <cellStyle name="Normal 52 3 3" xfId="3049" xr:uid="{00000000-0005-0000-0000-000046140000}"/>
    <cellStyle name="Normal 52 3 3 2" xfId="3050" xr:uid="{00000000-0005-0000-0000-000047140000}"/>
    <cellStyle name="Normal 52 3 3 3" xfId="3051" xr:uid="{00000000-0005-0000-0000-000048140000}"/>
    <cellStyle name="Normal 52 3 4" xfId="3052" xr:uid="{00000000-0005-0000-0000-000049140000}"/>
    <cellStyle name="Normal 52 4" xfId="3053" xr:uid="{00000000-0005-0000-0000-00004A140000}"/>
    <cellStyle name="Normal 52 4 2" xfId="3054" xr:uid="{00000000-0005-0000-0000-00004B140000}"/>
    <cellStyle name="Normal 52 4 3" xfId="3055" xr:uid="{00000000-0005-0000-0000-00004C140000}"/>
    <cellStyle name="Normal 52 4 4" xfId="3056" xr:uid="{00000000-0005-0000-0000-00004D140000}"/>
    <cellStyle name="Normal 52 4 5" xfId="3057" xr:uid="{00000000-0005-0000-0000-00004E140000}"/>
    <cellStyle name="Normal 52 5" xfId="3058" xr:uid="{00000000-0005-0000-0000-00004F140000}"/>
    <cellStyle name="Normal 53" xfId="3059" xr:uid="{00000000-0005-0000-0000-000050140000}"/>
    <cellStyle name="Normal 53 2" xfId="3060" xr:uid="{00000000-0005-0000-0000-000051140000}"/>
    <cellStyle name="Normal 53 2 2" xfId="3061" xr:uid="{00000000-0005-0000-0000-000052140000}"/>
    <cellStyle name="Normal 53 3" xfId="3062" xr:uid="{00000000-0005-0000-0000-000053140000}"/>
    <cellStyle name="Normal 53 3 2" xfId="3063" xr:uid="{00000000-0005-0000-0000-000054140000}"/>
    <cellStyle name="Normal 53 3 3" xfId="3064" xr:uid="{00000000-0005-0000-0000-000055140000}"/>
    <cellStyle name="Normal 53 3 3 2" xfId="3065" xr:uid="{00000000-0005-0000-0000-000056140000}"/>
    <cellStyle name="Normal 53 3 3 3" xfId="3066" xr:uid="{00000000-0005-0000-0000-000057140000}"/>
    <cellStyle name="Normal 53 3 4" xfId="3067" xr:uid="{00000000-0005-0000-0000-000058140000}"/>
    <cellStyle name="Normal 53 4" xfId="3068" xr:uid="{00000000-0005-0000-0000-000059140000}"/>
    <cellStyle name="Normal 53 4 2" xfId="3069" xr:uid="{00000000-0005-0000-0000-00005A140000}"/>
    <cellStyle name="Normal 53 4 3" xfId="3070" xr:uid="{00000000-0005-0000-0000-00005B140000}"/>
    <cellStyle name="Normal 53 4 4" xfId="3071" xr:uid="{00000000-0005-0000-0000-00005C140000}"/>
    <cellStyle name="Normal 53 4 5" xfId="3072" xr:uid="{00000000-0005-0000-0000-00005D140000}"/>
    <cellStyle name="Normal 53 5" xfId="3073" xr:uid="{00000000-0005-0000-0000-00005E140000}"/>
    <cellStyle name="Normal 54" xfId="3074" xr:uid="{00000000-0005-0000-0000-00005F140000}"/>
    <cellStyle name="Normal 54 2" xfId="3075" xr:uid="{00000000-0005-0000-0000-000060140000}"/>
    <cellStyle name="Normal 54 2 2" xfId="3076" xr:uid="{00000000-0005-0000-0000-000061140000}"/>
    <cellStyle name="Normal 54 3" xfId="3077" xr:uid="{00000000-0005-0000-0000-000062140000}"/>
    <cellStyle name="Normal 54 3 2" xfId="3078" xr:uid="{00000000-0005-0000-0000-000063140000}"/>
    <cellStyle name="Normal 54 3 3" xfId="3079" xr:uid="{00000000-0005-0000-0000-000064140000}"/>
    <cellStyle name="Normal 54 3 3 2" xfId="3080" xr:uid="{00000000-0005-0000-0000-000065140000}"/>
    <cellStyle name="Normal 54 3 3 3" xfId="3081" xr:uid="{00000000-0005-0000-0000-000066140000}"/>
    <cellStyle name="Normal 54 3 4" xfId="3082" xr:uid="{00000000-0005-0000-0000-000067140000}"/>
    <cellStyle name="Normal 54 4" xfId="3083" xr:uid="{00000000-0005-0000-0000-000068140000}"/>
    <cellStyle name="Normal 54 4 2" xfId="3084" xr:uid="{00000000-0005-0000-0000-000069140000}"/>
    <cellStyle name="Normal 54 4 3" xfId="3085" xr:uid="{00000000-0005-0000-0000-00006A140000}"/>
    <cellStyle name="Normal 54 4 4" xfId="3086" xr:uid="{00000000-0005-0000-0000-00006B140000}"/>
    <cellStyle name="Normal 54 4 5" xfId="3087" xr:uid="{00000000-0005-0000-0000-00006C140000}"/>
    <cellStyle name="Normal 54 5" xfId="3088" xr:uid="{00000000-0005-0000-0000-00006D140000}"/>
    <cellStyle name="Normal 55" xfId="3089" xr:uid="{00000000-0005-0000-0000-00006E140000}"/>
    <cellStyle name="Normal 55 2" xfId="3090" xr:uid="{00000000-0005-0000-0000-00006F140000}"/>
    <cellStyle name="Normal 55 2 2" xfId="3091" xr:uid="{00000000-0005-0000-0000-000070140000}"/>
    <cellStyle name="Normal 55 3" xfId="3092" xr:uid="{00000000-0005-0000-0000-000071140000}"/>
    <cellStyle name="Normal 55 3 2" xfId="3093" xr:uid="{00000000-0005-0000-0000-000072140000}"/>
    <cellStyle name="Normal 55 3 3" xfId="3094" xr:uid="{00000000-0005-0000-0000-000073140000}"/>
    <cellStyle name="Normal 55 3 3 2" xfId="3095" xr:uid="{00000000-0005-0000-0000-000074140000}"/>
    <cellStyle name="Normal 55 3 3 3" xfId="3096" xr:uid="{00000000-0005-0000-0000-000075140000}"/>
    <cellStyle name="Normal 55 3 4" xfId="3097" xr:uid="{00000000-0005-0000-0000-000076140000}"/>
    <cellStyle name="Normal 55 4" xfId="3098" xr:uid="{00000000-0005-0000-0000-000077140000}"/>
    <cellStyle name="Normal 55 4 2" xfId="3099" xr:uid="{00000000-0005-0000-0000-000078140000}"/>
    <cellStyle name="Normal 55 4 3" xfId="3100" xr:uid="{00000000-0005-0000-0000-000079140000}"/>
    <cellStyle name="Normal 55 4 4" xfId="3101" xr:uid="{00000000-0005-0000-0000-00007A140000}"/>
    <cellStyle name="Normal 55 4 5" xfId="3102" xr:uid="{00000000-0005-0000-0000-00007B140000}"/>
    <cellStyle name="Normal 55 4 6" xfId="3103" xr:uid="{00000000-0005-0000-0000-00007C140000}"/>
    <cellStyle name="Normal 55 5" xfId="3104" xr:uid="{00000000-0005-0000-0000-00007D140000}"/>
    <cellStyle name="Normal 55 5 2" xfId="3105" xr:uid="{00000000-0005-0000-0000-00007E140000}"/>
    <cellStyle name="Normal 55 5 3" xfId="3106" xr:uid="{00000000-0005-0000-0000-00007F140000}"/>
    <cellStyle name="Normal 55 5 3 2" xfId="3107" xr:uid="{00000000-0005-0000-0000-000080140000}"/>
    <cellStyle name="Normal 55 5 4" xfId="3108" xr:uid="{00000000-0005-0000-0000-000081140000}"/>
    <cellStyle name="Normal 55 6" xfId="3109" xr:uid="{00000000-0005-0000-0000-000082140000}"/>
    <cellStyle name="Normal 56" xfId="3110" xr:uid="{00000000-0005-0000-0000-000083140000}"/>
    <cellStyle name="Normal 56 2" xfId="3111" xr:uid="{00000000-0005-0000-0000-000084140000}"/>
    <cellStyle name="Normal 56 2 2" xfId="3112" xr:uid="{00000000-0005-0000-0000-000085140000}"/>
    <cellStyle name="Normal 56 3" xfId="3113" xr:uid="{00000000-0005-0000-0000-000086140000}"/>
    <cellStyle name="Normal 56 3 2" xfId="3114" xr:uid="{00000000-0005-0000-0000-000087140000}"/>
    <cellStyle name="Normal 56 3 3" xfId="3115" xr:uid="{00000000-0005-0000-0000-000088140000}"/>
    <cellStyle name="Normal 56 3 3 2" xfId="3116" xr:uid="{00000000-0005-0000-0000-000089140000}"/>
    <cellStyle name="Normal 56 3 3 3" xfId="3117" xr:uid="{00000000-0005-0000-0000-00008A140000}"/>
    <cellStyle name="Normal 56 3 4" xfId="3118" xr:uid="{00000000-0005-0000-0000-00008B140000}"/>
    <cellStyle name="Normal 56 4" xfId="3119" xr:uid="{00000000-0005-0000-0000-00008C140000}"/>
    <cellStyle name="Normal 56 4 2" xfId="3120" xr:uid="{00000000-0005-0000-0000-00008D140000}"/>
    <cellStyle name="Normal 56 4 3" xfId="3121" xr:uid="{00000000-0005-0000-0000-00008E140000}"/>
    <cellStyle name="Normal 56 4 4" xfId="3122" xr:uid="{00000000-0005-0000-0000-00008F140000}"/>
    <cellStyle name="Normal 56 4 5" xfId="3123" xr:uid="{00000000-0005-0000-0000-000090140000}"/>
    <cellStyle name="Normal 56 4 6" xfId="3124" xr:uid="{00000000-0005-0000-0000-000091140000}"/>
    <cellStyle name="Normal 56 5" xfId="3125" xr:uid="{00000000-0005-0000-0000-000092140000}"/>
    <cellStyle name="Normal 56 5 2" xfId="3126" xr:uid="{00000000-0005-0000-0000-000093140000}"/>
    <cellStyle name="Normal 56 5 3" xfId="3127" xr:uid="{00000000-0005-0000-0000-000094140000}"/>
    <cellStyle name="Normal 56 5 3 2" xfId="3128" xr:uid="{00000000-0005-0000-0000-000095140000}"/>
    <cellStyle name="Normal 56 5 4" xfId="3129" xr:uid="{00000000-0005-0000-0000-000096140000}"/>
    <cellStyle name="Normal 56 6" xfId="3130" xr:uid="{00000000-0005-0000-0000-000097140000}"/>
    <cellStyle name="Normal 57" xfId="3131" xr:uid="{00000000-0005-0000-0000-000098140000}"/>
    <cellStyle name="Normal 57 2" xfId="3132" xr:uid="{00000000-0005-0000-0000-000099140000}"/>
    <cellStyle name="Normal 57 2 2" xfId="3133" xr:uid="{00000000-0005-0000-0000-00009A140000}"/>
    <cellStyle name="Normal 57 2 3" xfId="3134" xr:uid="{00000000-0005-0000-0000-00009B140000}"/>
    <cellStyle name="Normal 57 3" xfId="3135" xr:uid="{00000000-0005-0000-0000-00009C140000}"/>
    <cellStyle name="Normal 57 3 2" xfId="3136" xr:uid="{00000000-0005-0000-0000-00009D140000}"/>
    <cellStyle name="Normal 57 4" xfId="3137" xr:uid="{00000000-0005-0000-0000-00009E140000}"/>
    <cellStyle name="Normal 57 4 2" xfId="3138" xr:uid="{00000000-0005-0000-0000-00009F140000}"/>
    <cellStyle name="Normal 57 4 2 2" xfId="3139" xr:uid="{00000000-0005-0000-0000-0000A0140000}"/>
    <cellStyle name="Normal 57 4 2 3" xfId="3140" xr:uid="{00000000-0005-0000-0000-0000A1140000}"/>
    <cellStyle name="Normal 57 4 2 4" xfId="3141" xr:uid="{00000000-0005-0000-0000-0000A2140000}"/>
    <cellStyle name="Normal 57 4 3" xfId="3142" xr:uid="{00000000-0005-0000-0000-0000A3140000}"/>
    <cellStyle name="Normal 57 4 4" xfId="3143" xr:uid="{00000000-0005-0000-0000-0000A4140000}"/>
    <cellStyle name="Normal 57 4 4 2" xfId="3144" xr:uid="{00000000-0005-0000-0000-0000A5140000}"/>
    <cellStyle name="Normal 57 4 5" xfId="3145" xr:uid="{00000000-0005-0000-0000-0000A6140000}"/>
    <cellStyle name="Normal 57 4 5 2" xfId="4705" xr:uid="{00000000-0005-0000-0000-0000A7140000}"/>
    <cellStyle name="Normal 57 4 5 3" xfId="6168" xr:uid="{00000000-0005-0000-0000-0000A8140000}"/>
    <cellStyle name="Normal 57 4 6" xfId="3146" xr:uid="{00000000-0005-0000-0000-0000A9140000}"/>
    <cellStyle name="Normal 57 5" xfId="3147" xr:uid="{00000000-0005-0000-0000-0000AA140000}"/>
    <cellStyle name="Normal 57 5 2" xfId="4706" xr:uid="{00000000-0005-0000-0000-0000AB140000}"/>
    <cellStyle name="Normal 57 5 3" xfId="6169" xr:uid="{00000000-0005-0000-0000-0000AC140000}"/>
    <cellStyle name="Normal 57 6" xfId="4704" xr:uid="{00000000-0005-0000-0000-0000AD140000}"/>
    <cellStyle name="Normal 58" xfId="3148" xr:uid="{00000000-0005-0000-0000-0000AE140000}"/>
    <cellStyle name="Normal 58 2" xfId="3149" xr:uid="{00000000-0005-0000-0000-0000AF140000}"/>
    <cellStyle name="Normal 58 2 2" xfId="3150" xr:uid="{00000000-0005-0000-0000-0000B0140000}"/>
    <cellStyle name="Normal 58 2 3" xfId="3151" xr:uid="{00000000-0005-0000-0000-0000B1140000}"/>
    <cellStyle name="Normal 58 3" xfId="3152" xr:uid="{00000000-0005-0000-0000-0000B2140000}"/>
    <cellStyle name="Normal 58 3 2" xfId="3153" xr:uid="{00000000-0005-0000-0000-0000B3140000}"/>
    <cellStyle name="Normal 58 3 2 2" xfId="3154" xr:uid="{00000000-0005-0000-0000-0000B4140000}"/>
    <cellStyle name="Normal 58 3 2 3" xfId="3155" xr:uid="{00000000-0005-0000-0000-0000B5140000}"/>
    <cellStyle name="Normal 58 3 2 4" xfId="3156" xr:uid="{00000000-0005-0000-0000-0000B6140000}"/>
    <cellStyle name="Normal 58 3 3" xfId="3157" xr:uid="{00000000-0005-0000-0000-0000B7140000}"/>
    <cellStyle name="Normal 58 3 4" xfId="3158" xr:uid="{00000000-0005-0000-0000-0000B8140000}"/>
    <cellStyle name="Normal 58 3 4 2" xfId="3159" xr:uid="{00000000-0005-0000-0000-0000B9140000}"/>
    <cellStyle name="Normal 58 3 5" xfId="3160" xr:uid="{00000000-0005-0000-0000-0000BA140000}"/>
    <cellStyle name="Normal 58 4" xfId="3161" xr:uid="{00000000-0005-0000-0000-0000BB140000}"/>
    <cellStyle name="Normal 588 2" xfId="3162" xr:uid="{00000000-0005-0000-0000-0000BC140000}"/>
    <cellStyle name="Normal 59" xfId="3163" xr:uid="{00000000-0005-0000-0000-0000BD140000}"/>
    <cellStyle name="Normal 59 2" xfId="3164" xr:uid="{00000000-0005-0000-0000-0000BE140000}"/>
    <cellStyle name="Normal 59 2 2" xfId="3165" xr:uid="{00000000-0005-0000-0000-0000BF140000}"/>
    <cellStyle name="Normal 59 2 3" xfId="3166" xr:uid="{00000000-0005-0000-0000-0000C0140000}"/>
    <cellStyle name="Normal 59 3" xfId="3167" xr:uid="{00000000-0005-0000-0000-0000C1140000}"/>
    <cellStyle name="Normal 59 3 2" xfId="3168" xr:uid="{00000000-0005-0000-0000-0000C2140000}"/>
    <cellStyle name="Normal 59 3 2 2" xfId="3169" xr:uid="{00000000-0005-0000-0000-0000C3140000}"/>
    <cellStyle name="Normal 59 3 2 3" xfId="3170" xr:uid="{00000000-0005-0000-0000-0000C4140000}"/>
    <cellStyle name="Normal 59 3 2 4" xfId="3171" xr:uid="{00000000-0005-0000-0000-0000C5140000}"/>
    <cellStyle name="Normal 59 3 3" xfId="3172" xr:uid="{00000000-0005-0000-0000-0000C6140000}"/>
    <cellStyle name="Normal 59 3 4" xfId="3173" xr:uid="{00000000-0005-0000-0000-0000C7140000}"/>
    <cellStyle name="Normal 59 3 4 2" xfId="3174" xr:uid="{00000000-0005-0000-0000-0000C8140000}"/>
    <cellStyle name="Normal 59 3 5" xfId="3175" xr:uid="{00000000-0005-0000-0000-0000C9140000}"/>
    <cellStyle name="Normal 59 4" xfId="3176" xr:uid="{00000000-0005-0000-0000-0000CA140000}"/>
    <cellStyle name="Normal 6" xfId="419" xr:uid="{00000000-0005-0000-0000-0000CB140000}"/>
    <cellStyle name="Normal 6 10" xfId="3177" xr:uid="{00000000-0005-0000-0000-0000CC140000}"/>
    <cellStyle name="Normal 6 11" xfId="3178" xr:uid="{00000000-0005-0000-0000-0000CD140000}"/>
    <cellStyle name="Normal 6 12" xfId="3901" xr:uid="{00000000-0005-0000-0000-0000CE140000}"/>
    <cellStyle name="Normal 6 12 2" xfId="6170" xr:uid="{00000000-0005-0000-0000-0000CF140000}"/>
    <cellStyle name="Normal 6 2" xfId="625" xr:uid="{00000000-0005-0000-0000-0000D0140000}"/>
    <cellStyle name="Normal 6 2 10" xfId="3179" xr:uid="{00000000-0005-0000-0000-0000D1140000}"/>
    <cellStyle name="Normal 6 2 10 2" xfId="4707" xr:uid="{00000000-0005-0000-0000-0000D2140000}"/>
    <cellStyle name="Normal 6 2 11" xfId="3941" xr:uid="{00000000-0005-0000-0000-0000D3140000}"/>
    <cellStyle name="Normal 6 2 2" xfId="3180" xr:uid="{00000000-0005-0000-0000-0000D4140000}"/>
    <cellStyle name="Normal 6 2 2 2" xfId="3181" xr:uid="{00000000-0005-0000-0000-0000D5140000}"/>
    <cellStyle name="Normal 6 2 2 2 2" xfId="4709" xr:uid="{00000000-0005-0000-0000-0000D6140000}"/>
    <cellStyle name="Normal 6 2 2 2 3" xfId="6172" xr:uid="{00000000-0005-0000-0000-0000D7140000}"/>
    <cellStyle name="Normal 6 2 2 3" xfId="4708" xr:uid="{00000000-0005-0000-0000-0000D8140000}"/>
    <cellStyle name="Normal 6 2 2 4" xfId="6171" xr:uid="{00000000-0005-0000-0000-0000D9140000}"/>
    <cellStyle name="Normal 6 2 3" xfId="3182" xr:uid="{00000000-0005-0000-0000-0000DA140000}"/>
    <cellStyle name="Normal 6 2 3 2" xfId="3183" xr:uid="{00000000-0005-0000-0000-0000DB140000}"/>
    <cellStyle name="Normal 6 2 3 2 2" xfId="4711" xr:uid="{00000000-0005-0000-0000-0000DC140000}"/>
    <cellStyle name="Normal 6 2 3 2 3" xfId="6174" xr:uid="{00000000-0005-0000-0000-0000DD140000}"/>
    <cellStyle name="Normal 6 2 3 3" xfId="4710" xr:uid="{00000000-0005-0000-0000-0000DE140000}"/>
    <cellStyle name="Normal 6 2 3 4" xfId="6173" xr:uid="{00000000-0005-0000-0000-0000DF140000}"/>
    <cellStyle name="Normal 6 2 4" xfId="3184" xr:uid="{00000000-0005-0000-0000-0000E0140000}"/>
    <cellStyle name="Normal 6 2 4 2" xfId="3185" xr:uid="{00000000-0005-0000-0000-0000E1140000}"/>
    <cellStyle name="Normal 6 2 4 2 2" xfId="4713" xr:uid="{00000000-0005-0000-0000-0000E2140000}"/>
    <cellStyle name="Normal 6 2 4 2 3" xfId="6176" xr:uid="{00000000-0005-0000-0000-0000E3140000}"/>
    <cellStyle name="Normal 6 2 4 3" xfId="4712" xr:uid="{00000000-0005-0000-0000-0000E4140000}"/>
    <cellStyle name="Normal 6 2 4 4" xfId="6175" xr:uid="{00000000-0005-0000-0000-0000E5140000}"/>
    <cellStyle name="Normal 6 2 5" xfId="3186" xr:uid="{00000000-0005-0000-0000-0000E6140000}"/>
    <cellStyle name="Normal 6 2 5 2" xfId="3187" xr:uid="{00000000-0005-0000-0000-0000E7140000}"/>
    <cellStyle name="Normal 6 2 5 2 2" xfId="6177" xr:uid="{00000000-0005-0000-0000-0000E8140000}"/>
    <cellStyle name="Normal 6 2 5 3" xfId="3188" xr:uid="{00000000-0005-0000-0000-0000E9140000}"/>
    <cellStyle name="Normal 6 2 5 4" xfId="3189" xr:uid="{00000000-0005-0000-0000-0000EA140000}"/>
    <cellStyle name="Normal 6 2 6" xfId="3190" xr:uid="{00000000-0005-0000-0000-0000EB140000}"/>
    <cellStyle name="Normal 6 2 6 2" xfId="3191" xr:uid="{00000000-0005-0000-0000-0000EC140000}"/>
    <cellStyle name="Normal 6 2 6 2 2" xfId="3192" xr:uid="{00000000-0005-0000-0000-0000ED140000}"/>
    <cellStyle name="Normal 6 2 7" xfId="3193" xr:uid="{00000000-0005-0000-0000-0000EE140000}"/>
    <cellStyle name="Normal 6 2 7 2" xfId="3194" xr:uid="{00000000-0005-0000-0000-0000EF140000}"/>
    <cellStyle name="Normal 6 2 7 3" xfId="4714" xr:uid="{00000000-0005-0000-0000-0000F0140000}"/>
    <cellStyle name="Normal 6 2 8" xfId="3195" xr:uid="{00000000-0005-0000-0000-0000F1140000}"/>
    <cellStyle name="Normal 6 2 8 2" xfId="4715" xr:uid="{00000000-0005-0000-0000-0000F2140000}"/>
    <cellStyle name="Normal 6 2 9" xfId="3196" xr:uid="{00000000-0005-0000-0000-0000F3140000}"/>
    <cellStyle name="Normal 6 3" xfId="3197" xr:uid="{00000000-0005-0000-0000-0000F4140000}"/>
    <cellStyle name="Normal 6 3 2" xfId="3198" xr:uid="{00000000-0005-0000-0000-0000F5140000}"/>
    <cellStyle name="Normal 6 3 2 2" xfId="3199" xr:uid="{00000000-0005-0000-0000-0000F6140000}"/>
    <cellStyle name="Normal 6 3 3" xfId="3200" xr:uid="{00000000-0005-0000-0000-0000F7140000}"/>
    <cellStyle name="Normal 6 3 3 2" xfId="3201" xr:uid="{00000000-0005-0000-0000-0000F8140000}"/>
    <cellStyle name="Normal 6 3 3 2 2" xfId="4717" xr:uid="{00000000-0005-0000-0000-0000F9140000}"/>
    <cellStyle name="Normal 6 3 3 2 3" xfId="6179" xr:uid="{00000000-0005-0000-0000-0000FA140000}"/>
    <cellStyle name="Normal 6 3 3 3" xfId="4716" xr:uid="{00000000-0005-0000-0000-0000FB140000}"/>
    <cellStyle name="Normal 6 3 3 4" xfId="6178" xr:uid="{00000000-0005-0000-0000-0000FC140000}"/>
    <cellStyle name="Normal 6 3 4" xfId="3202" xr:uid="{00000000-0005-0000-0000-0000FD140000}"/>
    <cellStyle name="Normal 6 3 4 2" xfId="3203" xr:uid="{00000000-0005-0000-0000-0000FE140000}"/>
    <cellStyle name="Normal 6 3 4 2 2" xfId="4719" xr:uid="{00000000-0005-0000-0000-0000FF140000}"/>
    <cellStyle name="Normal 6 3 4 2 3" xfId="6181" xr:uid="{00000000-0005-0000-0000-000000150000}"/>
    <cellStyle name="Normal 6 3 4 3" xfId="4718" xr:uid="{00000000-0005-0000-0000-000001150000}"/>
    <cellStyle name="Normal 6 3 4 4" xfId="6180" xr:uid="{00000000-0005-0000-0000-000002150000}"/>
    <cellStyle name="Normal 6 3 5" xfId="3204" xr:uid="{00000000-0005-0000-0000-000003150000}"/>
    <cellStyle name="Normal 6 4" xfId="3205" xr:uid="{00000000-0005-0000-0000-000004150000}"/>
    <cellStyle name="Normal 6 4 2" xfId="3206" xr:uid="{00000000-0005-0000-0000-000005150000}"/>
    <cellStyle name="Normal 6 4 2 2" xfId="3207" xr:uid="{00000000-0005-0000-0000-000006150000}"/>
    <cellStyle name="Normal 6 4 2 2 2" xfId="4721" xr:uid="{00000000-0005-0000-0000-000007150000}"/>
    <cellStyle name="Normal 6 4 2 2 3" xfId="6183" xr:uid="{00000000-0005-0000-0000-000008150000}"/>
    <cellStyle name="Normal 6 4 2 3" xfId="4720" xr:uid="{00000000-0005-0000-0000-000009150000}"/>
    <cellStyle name="Normal 6 4 2 4" xfId="6182" xr:uid="{00000000-0005-0000-0000-00000A150000}"/>
    <cellStyle name="Normal 6 4 3" xfId="3208" xr:uid="{00000000-0005-0000-0000-00000B150000}"/>
    <cellStyle name="Normal 6 4 3 2" xfId="3209" xr:uid="{00000000-0005-0000-0000-00000C150000}"/>
    <cellStyle name="Normal 6 4 3 2 2" xfId="3210" xr:uid="{00000000-0005-0000-0000-00000D150000}"/>
    <cellStyle name="Normal 6 4 3 2 2 2" xfId="4724" xr:uid="{00000000-0005-0000-0000-00000E150000}"/>
    <cellStyle name="Normal 6 4 3 2 3" xfId="4723" xr:uid="{00000000-0005-0000-0000-00000F150000}"/>
    <cellStyle name="Normal 6 4 3 3" xfId="4722" xr:uid="{00000000-0005-0000-0000-000010150000}"/>
    <cellStyle name="Normal 6 4 3 4" xfId="6184" xr:uid="{00000000-0005-0000-0000-000011150000}"/>
    <cellStyle name="Normal 6 4 4" xfId="3211" xr:uid="{00000000-0005-0000-0000-000012150000}"/>
    <cellStyle name="Normal 6 4 4 2" xfId="3212" xr:uid="{00000000-0005-0000-0000-000013150000}"/>
    <cellStyle name="Normal 6 4 4 3" xfId="4725" xr:uid="{00000000-0005-0000-0000-000014150000}"/>
    <cellStyle name="Normal 6 4 5" xfId="3213" xr:uid="{00000000-0005-0000-0000-000015150000}"/>
    <cellStyle name="Normal 6 4 6" xfId="3214" xr:uid="{00000000-0005-0000-0000-000016150000}"/>
    <cellStyle name="Normal 6 4 6 2" xfId="4726" xr:uid="{00000000-0005-0000-0000-000017150000}"/>
    <cellStyle name="Normal 6 4 7" xfId="3215" xr:uid="{00000000-0005-0000-0000-000018150000}"/>
    <cellStyle name="Normal 6 5" xfId="3216" xr:uid="{00000000-0005-0000-0000-000019150000}"/>
    <cellStyle name="Normal 6 5 2" xfId="3217" xr:uid="{00000000-0005-0000-0000-00001A150000}"/>
    <cellStyle name="Normal 6 5 2 2" xfId="3218" xr:uid="{00000000-0005-0000-0000-00001B150000}"/>
    <cellStyle name="Normal 6 5 2 2 2" xfId="4729" xr:uid="{00000000-0005-0000-0000-00001C150000}"/>
    <cellStyle name="Normal 6 5 2 2 3" xfId="6187" xr:uid="{00000000-0005-0000-0000-00001D150000}"/>
    <cellStyle name="Normal 6 5 2 3" xfId="4728" xr:uid="{00000000-0005-0000-0000-00001E150000}"/>
    <cellStyle name="Normal 6 5 2 4" xfId="6186" xr:uid="{00000000-0005-0000-0000-00001F150000}"/>
    <cellStyle name="Normal 6 5 3" xfId="3219" xr:uid="{00000000-0005-0000-0000-000020150000}"/>
    <cellStyle name="Normal 6 5 3 2" xfId="3220" xr:uid="{00000000-0005-0000-0000-000021150000}"/>
    <cellStyle name="Normal 6 5 3 2 2" xfId="3221" xr:uid="{00000000-0005-0000-0000-000022150000}"/>
    <cellStyle name="Normal 6 5 3 3" xfId="6188" xr:uid="{00000000-0005-0000-0000-000023150000}"/>
    <cellStyle name="Normal 6 5 4" xfId="3222" xr:uid="{00000000-0005-0000-0000-000024150000}"/>
    <cellStyle name="Normal 6 5 5" xfId="4727" xr:uid="{00000000-0005-0000-0000-000025150000}"/>
    <cellStyle name="Normal 6 5 6" xfId="6185" xr:uid="{00000000-0005-0000-0000-000026150000}"/>
    <cellStyle name="Normal 6 6" xfId="3223" xr:uid="{00000000-0005-0000-0000-000027150000}"/>
    <cellStyle name="Normal 6 6 2" xfId="3224" xr:uid="{00000000-0005-0000-0000-000028150000}"/>
    <cellStyle name="Normal 6 6 2 2" xfId="4731" xr:uid="{00000000-0005-0000-0000-000029150000}"/>
    <cellStyle name="Normal 6 6 2 3" xfId="6190" xr:uid="{00000000-0005-0000-0000-00002A150000}"/>
    <cellStyle name="Normal 6 6 3" xfId="4730" xr:uid="{00000000-0005-0000-0000-00002B150000}"/>
    <cellStyle name="Normal 6 6 4" xfId="6189" xr:uid="{00000000-0005-0000-0000-00002C150000}"/>
    <cellStyle name="Normal 6 7" xfId="3225" xr:uid="{00000000-0005-0000-0000-00002D150000}"/>
    <cellStyle name="Normal 6 7 2" xfId="3226" xr:uid="{00000000-0005-0000-0000-00002E150000}"/>
    <cellStyle name="Normal 6 7 2 2" xfId="4733" xr:uid="{00000000-0005-0000-0000-00002F150000}"/>
    <cellStyle name="Normal 6 7 2 3" xfId="6192" xr:uid="{00000000-0005-0000-0000-000030150000}"/>
    <cellStyle name="Normal 6 7 3" xfId="4732" xr:uid="{00000000-0005-0000-0000-000031150000}"/>
    <cellStyle name="Normal 6 7 4" xfId="6191" xr:uid="{00000000-0005-0000-0000-000032150000}"/>
    <cellStyle name="Normal 6 8" xfId="3227" xr:uid="{00000000-0005-0000-0000-000033150000}"/>
    <cellStyle name="Normal 6 8 2" xfId="3228" xr:uid="{00000000-0005-0000-0000-000034150000}"/>
    <cellStyle name="Normal 6 8 2 2" xfId="4735" xr:uid="{00000000-0005-0000-0000-000035150000}"/>
    <cellStyle name="Normal 6 8 2 3" xfId="6194" xr:uid="{00000000-0005-0000-0000-000036150000}"/>
    <cellStyle name="Normal 6 8 3" xfId="4734" xr:uid="{00000000-0005-0000-0000-000037150000}"/>
    <cellStyle name="Normal 6 8 4" xfId="6193" xr:uid="{00000000-0005-0000-0000-000038150000}"/>
    <cellStyle name="Normal 6 9" xfId="3229" xr:uid="{00000000-0005-0000-0000-000039150000}"/>
    <cellStyle name="Normal 6 9 2" xfId="3230" xr:uid="{00000000-0005-0000-0000-00003A150000}"/>
    <cellStyle name="Normal 6 9 2 2" xfId="3231" xr:uid="{00000000-0005-0000-0000-00003B150000}"/>
    <cellStyle name="Normal 6 9 2 2 2" xfId="6196" xr:uid="{00000000-0005-0000-0000-00003C150000}"/>
    <cellStyle name="Normal 6 9 2 3" xfId="3232" xr:uid="{00000000-0005-0000-0000-00003D150000}"/>
    <cellStyle name="Normal 6 9 2 3 2" xfId="6197" xr:uid="{00000000-0005-0000-0000-00003E150000}"/>
    <cellStyle name="Normal 6 9 2 4" xfId="3233" xr:uid="{00000000-0005-0000-0000-00003F150000}"/>
    <cellStyle name="Normal 6 9 2 5" xfId="6195" xr:uid="{00000000-0005-0000-0000-000040150000}"/>
    <cellStyle name="Normal 6 9 3" xfId="3234" xr:uid="{00000000-0005-0000-0000-000041150000}"/>
    <cellStyle name="Normal 60" xfId="3235" xr:uid="{00000000-0005-0000-0000-000042150000}"/>
    <cellStyle name="Normal 60 2" xfId="3236" xr:uid="{00000000-0005-0000-0000-000043150000}"/>
    <cellStyle name="Normal 60 2 2" xfId="3237" xr:uid="{00000000-0005-0000-0000-000044150000}"/>
    <cellStyle name="Normal 60 2 3" xfId="3238" xr:uid="{00000000-0005-0000-0000-000045150000}"/>
    <cellStyle name="Normal 60 3" xfId="3239" xr:uid="{00000000-0005-0000-0000-000046150000}"/>
    <cellStyle name="Normal 60 3 2" xfId="3240" xr:uid="{00000000-0005-0000-0000-000047150000}"/>
    <cellStyle name="Normal 60 3 2 2" xfId="3241" xr:uid="{00000000-0005-0000-0000-000048150000}"/>
    <cellStyle name="Normal 60 3 2 3" xfId="3242" xr:uid="{00000000-0005-0000-0000-000049150000}"/>
    <cellStyle name="Normal 60 3 2 4" xfId="3243" xr:uid="{00000000-0005-0000-0000-00004A150000}"/>
    <cellStyle name="Normal 60 3 3" xfId="3244" xr:uid="{00000000-0005-0000-0000-00004B150000}"/>
    <cellStyle name="Normal 60 3 4" xfId="3245" xr:uid="{00000000-0005-0000-0000-00004C150000}"/>
    <cellStyle name="Normal 60 3 4 2" xfId="3246" xr:uid="{00000000-0005-0000-0000-00004D150000}"/>
    <cellStyle name="Normal 60 3 5" xfId="3247" xr:uid="{00000000-0005-0000-0000-00004E150000}"/>
    <cellStyle name="Normal 60 4" xfId="3248" xr:uid="{00000000-0005-0000-0000-00004F150000}"/>
    <cellStyle name="Normal 605" xfId="3249" xr:uid="{00000000-0005-0000-0000-000050150000}"/>
    <cellStyle name="Normal 605 2" xfId="4736" xr:uid="{00000000-0005-0000-0000-000051150000}"/>
    <cellStyle name="Normal 61" xfId="3250" xr:uid="{00000000-0005-0000-0000-000052150000}"/>
    <cellStyle name="Normal 61 2" xfId="3251" xr:uid="{00000000-0005-0000-0000-000053150000}"/>
    <cellStyle name="Normal 62" xfId="3252" xr:uid="{00000000-0005-0000-0000-000054150000}"/>
    <cellStyle name="Normal 62 2" xfId="3253" xr:uid="{00000000-0005-0000-0000-000055150000}"/>
    <cellStyle name="Normal 620" xfId="3254" xr:uid="{00000000-0005-0000-0000-000056150000}"/>
    <cellStyle name="Normal 620 2" xfId="4737" xr:uid="{00000000-0005-0000-0000-000057150000}"/>
    <cellStyle name="Normal 63" xfId="3255" xr:uid="{00000000-0005-0000-0000-000058150000}"/>
    <cellStyle name="Normal 63 2" xfId="3256" xr:uid="{00000000-0005-0000-0000-000059150000}"/>
    <cellStyle name="Normal 64" xfId="3257" xr:uid="{00000000-0005-0000-0000-00005A150000}"/>
    <cellStyle name="Normal 64 2" xfId="3258" xr:uid="{00000000-0005-0000-0000-00005B150000}"/>
    <cellStyle name="Normal 65" xfId="3259" xr:uid="{00000000-0005-0000-0000-00005C150000}"/>
    <cellStyle name="Normal 65 2" xfId="3260" xr:uid="{00000000-0005-0000-0000-00005D150000}"/>
    <cellStyle name="Normal 66" xfId="3261" xr:uid="{00000000-0005-0000-0000-00005E150000}"/>
    <cellStyle name="Normal 66 2" xfId="3262" xr:uid="{00000000-0005-0000-0000-00005F150000}"/>
    <cellStyle name="Normal 67" xfId="3263" xr:uid="{00000000-0005-0000-0000-000060150000}"/>
    <cellStyle name="Normal 67 2" xfId="3264" xr:uid="{00000000-0005-0000-0000-000061150000}"/>
    <cellStyle name="Normal 68" xfId="3265" xr:uid="{00000000-0005-0000-0000-000062150000}"/>
    <cellStyle name="Normal 68 2" xfId="3266" xr:uid="{00000000-0005-0000-0000-000063150000}"/>
    <cellStyle name="Normal 69" xfId="3267" xr:uid="{00000000-0005-0000-0000-000064150000}"/>
    <cellStyle name="Normal 69 2" xfId="3268" xr:uid="{00000000-0005-0000-0000-000065150000}"/>
    <cellStyle name="Normal 7" xfId="676" xr:uid="{00000000-0005-0000-0000-000066150000}"/>
    <cellStyle name="Normal 7 2" xfId="626" xr:uid="{00000000-0005-0000-0000-000067150000}"/>
    <cellStyle name="Normal 7 2 2" xfId="3269" xr:uid="{00000000-0005-0000-0000-000068150000}"/>
    <cellStyle name="Normal 7 3" xfId="627" xr:uid="{00000000-0005-0000-0000-000069150000}"/>
    <cellStyle name="Normal 7 3 2" xfId="3271" xr:uid="{00000000-0005-0000-0000-00006A150000}"/>
    <cellStyle name="Normal 7 3 2 2" xfId="3272" xr:uid="{00000000-0005-0000-0000-00006B150000}"/>
    <cellStyle name="Normal 7 3 2 3" xfId="6198" xr:uid="{00000000-0005-0000-0000-00006C150000}"/>
    <cellStyle name="Normal 7 3 3" xfId="3273" xr:uid="{00000000-0005-0000-0000-00006D150000}"/>
    <cellStyle name="Normal 7 3 4" xfId="3274" xr:uid="{00000000-0005-0000-0000-00006E150000}"/>
    <cellStyle name="Normal 7 3 5" xfId="3275" xr:uid="{00000000-0005-0000-0000-00006F150000}"/>
    <cellStyle name="Normal 7 3 6" xfId="3270" xr:uid="{00000000-0005-0000-0000-000070150000}"/>
    <cellStyle name="Normal 7 4" xfId="3276" xr:uid="{00000000-0005-0000-0000-000071150000}"/>
    <cellStyle name="Normal 7 4 2" xfId="3277" xr:uid="{00000000-0005-0000-0000-000072150000}"/>
    <cellStyle name="Normal 7 4 2 2" xfId="4739" xr:uid="{00000000-0005-0000-0000-000073150000}"/>
    <cellStyle name="Normal 7 4 2 3" xfId="6200" xr:uid="{00000000-0005-0000-0000-000074150000}"/>
    <cellStyle name="Normal 7 4 3" xfId="4738" xr:uid="{00000000-0005-0000-0000-000075150000}"/>
    <cellStyle name="Normal 7 4 4" xfId="6199" xr:uid="{00000000-0005-0000-0000-000076150000}"/>
    <cellStyle name="Normal 7 5" xfId="3278" xr:uid="{00000000-0005-0000-0000-000077150000}"/>
    <cellStyle name="Normal 7 5 2" xfId="3279" xr:uid="{00000000-0005-0000-0000-000078150000}"/>
    <cellStyle name="Normal 7 5 3" xfId="3280" xr:uid="{00000000-0005-0000-0000-000079150000}"/>
    <cellStyle name="Normal 7 6" xfId="3281" xr:uid="{00000000-0005-0000-0000-00007A150000}"/>
    <cellStyle name="Normal 7 7" xfId="3943" xr:uid="{00000000-0005-0000-0000-00007B150000}"/>
    <cellStyle name="Normal 70" xfId="3282" xr:uid="{00000000-0005-0000-0000-00007C150000}"/>
    <cellStyle name="Normal 70 2" xfId="3283" xr:uid="{00000000-0005-0000-0000-00007D150000}"/>
    <cellStyle name="Normal 71" xfId="3284" xr:uid="{00000000-0005-0000-0000-00007E150000}"/>
    <cellStyle name="Normal 71 2" xfId="3285" xr:uid="{00000000-0005-0000-0000-00007F150000}"/>
    <cellStyle name="Normal 72" xfId="3286" xr:uid="{00000000-0005-0000-0000-000080150000}"/>
    <cellStyle name="Normal 72 2" xfId="3287" xr:uid="{00000000-0005-0000-0000-000081150000}"/>
    <cellStyle name="Normal 73" xfId="3288" xr:uid="{00000000-0005-0000-0000-000082150000}"/>
    <cellStyle name="Normal 73 2" xfId="3289" xr:uid="{00000000-0005-0000-0000-000083150000}"/>
    <cellStyle name="Normal 74" xfId="3290" xr:uid="{00000000-0005-0000-0000-000084150000}"/>
    <cellStyle name="Normal 74 2" xfId="3291" xr:uid="{00000000-0005-0000-0000-000085150000}"/>
    <cellStyle name="Normal 75" xfId="3292" xr:uid="{00000000-0005-0000-0000-000086150000}"/>
    <cellStyle name="Normal 75 2" xfId="3293" xr:uid="{00000000-0005-0000-0000-000087150000}"/>
    <cellStyle name="Normal 76" xfId="3294" xr:uid="{00000000-0005-0000-0000-000088150000}"/>
    <cellStyle name="Normal 76 2" xfId="3295" xr:uid="{00000000-0005-0000-0000-000089150000}"/>
    <cellStyle name="Normal 77" xfId="3296" xr:uid="{00000000-0005-0000-0000-00008A150000}"/>
    <cellStyle name="Normal 77 2" xfId="3297" xr:uid="{00000000-0005-0000-0000-00008B150000}"/>
    <cellStyle name="Normal 77 2 2" xfId="3298" xr:uid="{00000000-0005-0000-0000-00008C150000}"/>
    <cellStyle name="Normal 77 3" xfId="3299" xr:uid="{00000000-0005-0000-0000-00008D150000}"/>
    <cellStyle name="Normal 77 3 2" xfId="4741" xr:uid="{00000000-0005-0000-0000-00008E150000}"/>
    <cellStyle name="Normal 77 3 3" xfId="6201" xr:uid="{00000000-0005-0000-0000-00008F150000}"/>
    <cellStyle name="Normal 77 4" xfId="4740" xr:uid="{00000000-0005-0000-0000-000090150000}"/>
    <cellStyle name="Normal 78" xfId="3300" xr:uid="{00000000-0005-0000-0000-000091150000}"/>
    <cellStyle name="Normal 78 2" xfId="3301" xr:uid="{00000000-0005-0000-0000-000092150000}"/>
    <cellStyle name="Normal 78 2 2" xfId="4743" xr:uid="{00000000-0005-0000-0000-000093150000}"/>
    <cellStyle name="Normal 78 2 3" xfId="6203" xr:uid="{00000000-0005-0000-0000-000094150000}"/>
    <cellStyle name="Normal 78 3" xfId="4742" xr:uid="{00000000-0005-0000-0000-000095150000}"/>
    <cellStyle name="Normal 78 4" xfId="6202" xr:uid="{00000000-0005-0000-0000-000096150000}"/>
    <cellStyle name="Normal 79" xfId="3302" xr:uid="{00000000-0005-0000-0000-000097150000}"/>
    <cellStyle name="Normal 79 2" xfId="3303" xr:uid="{00000000-0005-0000-0000-000098150000}"/>
    <cellStyle name="Normal 79 2 2" xfId="4745" xr:uid="{00000000-0005-0000-0000-000099150000}"/>
    <cellStyle name="Normal 79 2 3" xfId="6205" xr:uid="{00000000-0005-0000-0000-00009A150000}"/>
    <cellStyle name="Normal 79 3" xfId="4744" xr:uid="{00000000-0005-0000-0000-00009B150000}"/>
    <cellStyle name="Normal 79 4" xfId="6204" xr:uid="{00000000-0005-0000-0000-00009C150000}"/>
    <cellStyle name="Normal 8" xfId="354" xr:uid="{00000000-0005-0000-0000-00009D150000}"/>
    <cellStyle name="Normal 8 2" xfId="374" xr:uid="{00000000-0005-0000-0000-00009E150000}"/>
    <cellStyle name="Normal 8 2 2" xfId="3305" xr:uid="{00000000-0005-0000-0000-00009F150000}"/>
    <cellStyle name="Normal 8 2 3" xfId="3304" xr:uid="{00000000-0005-0000-0000-0000A0150000}"/>
    <cellStyle name="Normal 8 3" xfId="3306" xr:uid="{00000000-0005-0000-0000-0000A1150000}"/>
    <cellStyle name="Normal 8 3 2" xfId="3307" xr:uid="{00000000-0005-0000-0000-0000A2150000}"/>
    <cellStyle name="Normal 8 3 2 2" xfId="3308" xr:uid="{00000000-0005-0000-0000-0000A3150000}"/>
    <cellStyle name="Normal 8 3 2 2 2" xfId="4748" xr:uid="{00000000-0005-0000-0000-0000A4150000}"/>
    <cellStyle name="Normal 8 3 2 3" xfId="4747" xr:uid="{00000000-0005-0000-0000-0000A5150000}"/>
    <cellStyle name="Normal 8 3 2 4" xfId="6206" xr:uid="{00000000-0005-0000-0000-0000A6150000}"/>
    <cellStyle name="Normal 8 3 3" xfId="3309" xr:uid="{00000000-0005-0000-0000-0000A7150000}"/>
    <cellStyle name="Normal 8 3 4" xfId="3310" xr:uid="{00000000-0005-0000-0000-0000A8150000}"/>
    <cellStyle name="Normal 8 3 4 2" xfId="4749" xr:uid="{00000000-0005-0000-0000-0000A9150000}"/>
    <cellStyle name="Normal 8 3 5" xfId="3311" xr:uid="{00000000-0005-0000-0000-0000AA150000}"/>
    <cellStyle name="Normal 8 3 6" xfId="4746" xr:uid="{00000000-0005-0000-0000-0000AB150000}"/>
    <cellStyle name="Normal 8 4" xfId="3312" xr:uid="{00000000-0005-0000-0000-0000AC150000}"/>
    <cellStyle name="Normal 8 4 2" xfId="3313" xr:uid="{00000000-0005-0000-0000-0000AD150000}"/>
    <cellStyle name="Normal 8 4 3" xfId="3314" xr:uid="{00000000-0005-0000-0000-0000AE150000}"/>
    <cellStyle name="Normal 8 5" xfId="3315" xr:uid="{00000000-0005-0000-0000-0000AF150000}"/>
    <cellStyle name="Normal 8 6" xfId="3887" xr:uid="{00000000-0005-0000-0000-0000B0150000}"/>
    <cellStyle name="Normal 8 7" xfId="4760" xr:uid="{00000000-0005-0000-0000-0000B1150000}"/>
    <cellStyle name="Normal 8 8" xfId="381" xr:uid="{00000000-0005-0000-0000-0000B2150000}"/>
    <cellStyle name="Normal 80" xfId="3316" xr:uid="{00000000-0005-0000-0000-0000B3150000}"/>
    <cellStyle name="Normal 80 2" xfId="3317" xr:uid="{00000000-0005-0000-0000-0000B4150000}"/>
    <cellStyle name="Normal 80 2 2" xfId="4751" xr:uid="{00000000-0005-0000-0000-0000B5150000}"/>
    <cellStyle name="Normal 80 2 3" xfId="6208" xr:uid="{00000000-0005-0000-0000-0000B6150000}"/>
    <cellStyle name="Normal 80 3" xfId="4750" xr:uid="{00000000-0005-0000-0000-0000B7150000}"/>
    <cellStyle name="Normal 80 4" xfId="6207" xr:uid="{00000000-0005-0000-0000-0000B8150000}"/>
    <cellStyle name="Normal 81" xfId="3318" xr:uid="{00000000-0005-0000-0000-0000B9150000}"/>
    <cellStyle name="Normal 81 2" xfId="3319" xr:uid="{00000000-0005-0000-0000-0000BA150000}"/>
    <cellStyle name="Normal 81 2 2" xfId="4753" xr:uid="{00000000-0005-0000-0000-0000BB150000}"/>
    <cellStyle name="Normal 81 2 3" xfId="6210" xr:uid="{00000000-0005-0000-0000-0000BC150000}"/>
    <cellStyle name="Normal 81 3" xfId="4752" xr:uid="{00000000-0005-0000-0000-0000BD150000}"/>
    <cellStyle name="Normal 81 4" xfId="6209" xr:uid="{00000000-0005-0000-0000-0000BE150000}"/>
    <cellStyle name="Normal 82" xfId="3320" xr:uid="{00000000-0005-0000-0000-0000BF150000}"/>
    <cellStyle name="Normal 82 2" xfId="3321" xr:uid="{00000000-0005-0000-0000-0000C0150000}"/>
    <cellStyle name="Normal 82 2 2" xfId="4755" xr:uid="{00000000-0005-0000-0000-0000C1150000}"/>
    <cellStyle name="Normal 82 2 3" xfId="6212" xr:uid="{00000000-0005-0000-0000-0000C2150000}"/>
    <cellStyle name="Normal 82 3" xfId="4754" xr:uid="{00000000-0005-0000-0000-0000C3150000}"/>
    <cellStyle name="Normal 82 4" xfId="6211" xr:uid="{00000000-0005-0000-0000-0000C4150000}"/>
    <cellStyle name="Normal 83" xfId="3322" xr:uid="{00000000-0005-0000-0000-0000C5150000}"/>
    <cellStyle name="Normal 83 2" xfId="3323" xr:uid="{00000000-0005-0000-0000-0000C6150000}"/>
    <cellStyle name="Normal 83 2 2" xfId="4757" xr:uid="{00000000-0005-0000-0000-0000C7150000}"/>
    <cellStyle name="Normal 83 2 3" xfId="6214" xr:uid="{00000000-0005-0000-0000-0000C8150000}"/>
    <cellStyle name="Normal 83 3" xfId="4756" xr:uid="{00000000-0005-0000-0000-0000C9150000}"/>
    <cellStyle name="Normal 83 4" xfId="6213" xr:uid="{00000000-0005-0000-0000-0000CA150000}"/>
    <cellStyle name="Normal 84" xfId="3324" xr:uid="{00000000-0005-0000-0000-0000CB150000}"/>
    <cellStyle name="Normal 84 2" xfId="3325" xr:uid="{00000000-0005-0000-0000-0000CC150000}"/>
    <cellStyle name="Normal 85" xfId="3326" xr:uid="{00000000-0005-0000-0000-0000CD150000}"/>
    <cellStyle name="Normal 85 2" xfId="3327" xr:uid="{00000000-0005-0000-0000-0000CE150000}"/>
    <cellStyle name="Normal 86" xfId="3328" xr:uid="{00000000-0005-0000-0000-0000CF150000}"/>
    <cellStyle name="Normal 86 2" xfId="3329" xr:uid="{00000000-0005-0000-0000-0000D0150000}"/>
    <cellStyle name="Normal 87" xfId="3330" xr:uid="{00000000-0005-0000-0000-0000D1150000}"/>
    <cellStyle name="Normal 87 2" xfId="3331" xr:uid="{00000000-0005-0000-0000-0000D2150000}"/>
    <cellStyle name="Normal 88" xfId="3332" xr:uid="{00000000-0005-0000-0000-0000D3150000}"/>
    <cellStyle name="Normal 88 2" xfId="3333" xr:uid="{00000000-0005-0000-0000-0000D4150000}"/>
    <cellStyle name="Normal 89" xfId="3334" xr:uid="{00000000-0005-0000-0000-0000D5150000}"/>
    <cellStyle name="Normal 89 2" xfId="3335" xr:uid="{00000000-0005-0000-0000-0000D6150000}"/>
    <cellStyle name="Normal 9" xfId="3889" xr:uid="{00000000-0005-0000-0000-0000D7150000}"/>
    <cellStyle name="Normal 9 2" xfId="3336" xr:uid="{00000000-0005-0000-0000-0000D8150000}"/>
    <cellStyle name="Normal 9 2 2" xfId="3337" xr:uid="{00000000-0005-0000-0000-0000D9150000}"/>
    <cellStyle name="Normal 9 3" xfId="3338" xr:uid="{00000000-0005-0000-0000-0000DA150000}"/>
    <cellStyle name="Normal 9 3 2" xfId="3339" xr:uid="{00000000-0005-0000-0000-0000DB150000}"/>
    <cellStyle name="Normal 9 3 2 2" xfId="3340" xr:uid="{00000000-0005-0000-0000-0000DC150000}"/>
    <cellStyle name="Normal 9 3 2 3" xfId="3341" xr:uid="{00000000-0005-0000-0000-0000DD150000}"/>
    <cellStyle name="Normal 9 3 2 4" xfId="6215" xr:uid="{00000000-0005-0000-0000-0000DE150000}"/>
    <cellStyle name="Normal 9 3 3" xfId="3342" xr:uid="{00000000-0005-0000-0000-0000DF150000}"/>
    <cellStyle name="Normal 9 3 4" xfId="3343" xr:uid="{00000000-0005-0000-0000-0000E0150000}"/>
    <cellStyle name="Normal 9 4" xfId="3344" xr:uid="{00000000-0005-0000-0000-0000E1150000}"/>
    <cellStyle name="Normal 9 4 2" xfId="3345" xr:uid="{00000000-0005-0000-0000-0000E2150000}"/>
    <cellStyle name="Normal 9 4 3" xfId="3346" xr:uid="{00000000-0005-0000-0000-0000E3150000}"/>
    <cellStyle name="Normal 9 4 4" xfId="3347" xr:uid="{00000000-0005-0000-0000-0000E4150000}"/>
    <cellStyle name="Normal 9 5" xfId="3348" xr:uid="{00000000-0005-0000-0000-0000E5150000}"/>
    <cellStyle name="Normal 9 6" xfId="4762" xr:uid="{00000000-0005-0000-0000-0000E6150000}"/>
    <cellStyle name="Normal 90" xfId="3349" xr:uid="{00000000-0005-0000-0000-0000E7150000}"/>
    <cellStyle name="Normal 90 2" xfId="3350" xr:uid="{00000000-0005-0000-0000-0000E8150000}"/>
    <cellStyle name="Normal 91" xfId="3351" xr:uid="{00000000-0005-0000-0000-0000E9150000}"/>
    <cellStyle name="Normal 91 2" xfId="3352" xr:uid="{00000000-0005-0000-0000-0000EA150000}"/>
    <cellStyle name="Normal 92" xfId="3353" xr:uid="{00000000-0005-0000-0000-0000EB150000}"/>
    <cellStyle name="Normal 92 2" xfId="3354" xr:uid="{00000000-0005-0000-0000-0000EC150000}"/>
    <cellStyle name="Normal 93" xfId="3355" xr:uid="{00000000-0005-0000-0000-0000ED150000}"/>
    <cellStyle name="Normal 93 2" xfId="3356" xr:uid="{00000000-0005-0000-0000-0000EE150000}"/>
    <cellStyle name="Normal 94" xfId="3357" xr:uid="{00000000-0005-0000-0000-0000EF150000}"/>
    <cellStyle name="Normal 94 2" xfId="3358" xr:uid="{00000000-0005-0000-0000-0000F0150000}"/>
    <cellStyle name="Normal 95" xfId="3359" xr:uid="{00000000-0005-0000-0000-0000F1150000}"/>
    <cellStyle name="Normal 95 2" xfId="3360" xr:uid="{00000000-0005-0000-0000-0000F2150000}"/>
    <cellStyle name="Normal 96" xfId="3361" xr:uid="{00000000-0005-0000-0000-0000F3150000}"/>
    <cellStyle name="Normal 96 2" xfId="3362" xr:uid="{00000000-0005-0000-0000-0000F4150000}"/>
    <cellStyle name="Normal 97" xfId="3363" xr:uid="{00000000-0005-0000-0000-0000F5150000}"/>
    <cellStyle name="Normal 97 2" xfId="3364" xr:uid="{00000000-0005-0000-0000-0000F6150000}"/>
    <cellStyle name="Normal 98" xfId="3365" xr:uid="{00000000-0005-0000-0000-0000F7150000}"/>
    <cellStyle name="Normal 98 2" xfId="3366" xr:uid="{00000000-0005-0000-0000-0000F8150000}"/>
    <cellStyle name="Normal 99" xfId="3367" xr:uid="{00000000-0005-0000-0000-0000F9150000}"/>
    <cellStyle name="Normal 99 2" xfId="3368" xr:uid="{00000000-0005-0000-0000-0000FA150000}"/>
    <cellStyle name="Normal_HGL_IOList" xfId="292" xr:uid="{00000000-0005-0000-0000-0000FB150000}"/>
    <cellStyle name="Note" xfId="293" builtinId="10" customBuiltin="1"/>
    <cellStyle name="Note 10" xfId="629" xr:uid="{00000000-0005-0000-0000-0000FD150000}"/>
    <cellStyle name="Note 10 2" xfId="3370" xr:uid="{00000000-0005-0000-0000-0000FE150000}"/>
    <cellStyle name="Note 10 3" xfId="3371" xr:uid="{00000000-0005-0000-0000-0000FF150000}"/>
    <cellStyle name="Note 11" xfId="630" xr:uid="{00000000-0005-0000-0000-000000160000}"/>
    <cellStyle name="Note 11 2" xfId="3372" xr:uid="{00000000-0005-0000-0000-000001160000}"/>
    <cellStyle name="Note 11 3" xfId="3373" xr:uid="{00000000-0005-0000-0000-000002160000}"/>
    <cellStyle name="Note 12" xfId="631" xr:uid="{00000000-0005-0000-0000-000003160000}"/>
    <cellStyle name="Note 12 2" xfId="632" xr:uid="{00000000-0005-0000-0000-000004160000}"/>
    <cellStyle name="Note 13" xfId="633" xr:uid="{00000000-0005-0000-0000-000005160000}"/>
    <cellStyle name="Note 13 2" xfId="634" xr:uid="{00000000-0005-0000-0000-000006160000}"/>
    <cellStyle name="Note 14" xfId="635" xr:uid="{00000000-0005-0000-0000-000007160000}"/>
    <cellStyle name="Note 14 2" xfId="3374" xr:uid="{00000000-0005-0000-0000-000008160000}"/>
    <cellStyle name="Note 15" xfId="628" xr:uid="{00000000-0005-0000-0000-000009160000}"/>
    <cellStyle name="Note 16" xfId="3375" xr:uid="{00000000-0005-0000-0000-00000A160000}"/>
    <cellStyle name="Note 16 2" xfId="3376" xr:uid="{00000000-0005-0000-0000-00000B160000}"/>
    <cellStyle name="Note 16 3" xfId="3377" xr:uid="{00000000-0005-0000-0000-00000C160000}"/>
    <cellStyle name="Note 17" xfId="3378" xr:uid="{00000000-0005-0000-0000-00000D160000}"/>
    <cellStyle name="Note 18" xfId="3379" xr:uid="{00000000-0005-0000-0000-00000E160000}"/>
    <cellStyle name="Note 19" xfId="3380" xr:uid="{00000000-0005-0000-0000-00000F160000}"/>
    <cellStyle name="Note 2" xfId="294" xr:uid="{00000000-0005-0000-0000-000010160000}"/>
    <cellStyle name="Note 2 2" xfId="370" xr:uid="{00000000-0005-0000-0000-000011160000}"/>
    <cellStyle name="Note 2 2 2" xfId="637" xr:uid="{00000000-0005-0000-0000-000012160000}"/>
    <cellStyle name="Note 2 2 2 2" xfId="638" xr:uid="{00000000-0005-0000-0000-000013160000}"/>
    <cellStyle name="Note 2 2 2 3" xfId="3382" xr:uid="{00000000-0005-0000-0000-000014160000}"/>
    <cellStyle name="Note 2 2 2 4" xfId="3381" xr:uid="{00000000-0005-0000-0000-000015160000}"/>
    <cellStyle name="Note 2 2 3" xfId="639" xr:uid="{00000000-0005-0000-0000-000016160000}"/>
    <cellStyle name="Note 2 3" xfId="640" xr:uid="{00000000-0005-0000-0000-000017160000}"/>
    <cellStyle name="Note 2 3 2" xfId="3383" xr:uid="{00000000-0005-0000-0000-000018160000}"/>
    <cellStyle name="Note 2 4" xfId="636" xr:uid="{00000000-0005-0000-0000-000019160000}"/>
    <cellStyle name="Note 2 4 2" xfId="3384" xr:uid="{00000000-0005-0000-0000-00001A160000}"/>
    <cellStyle name="Note 2 5" xfId="3385" xr:uid="{00000000-0005-0000-0000-00001B160000}"/>
    <cellStyle name="Note 2 5 2" xfId="6216" xr:uid="{00000000-0005-0000-0000-00001C160000}"/>
    <cellStyle name="Note 2 6" xfId="3386" xr:uid="{00000000-0005-0000-0000-00001D160000}"/>
    <cellStyle name="Note 2 7" xfId="414" xr:uid="{00000000-0005-0000-0000-00001E160000}"/>
    <cellStyle name="Note 2 8" xfId="396" xr:uid="{00000000-0005-0000-0000-00001F160000}"/>
    <cellStyle name="Note 20" xfId="3387" xr:uid="{00000000-0005-0000-0000-000020160000}"/>
    <cellStyle name="Note 20 2" xfId="3388" xr:uid="{00000000-0005-0000-0000-000021160000}"/>
    <cellStyle name="Note 21" xfId="3389" xr:uid="{00000000-0005-0000-0000-000022160000}"/>
    <cellStyle name="Note 22" xfId="3390" xr:uid="{00000000-0005-0000-0000-000023160000}"/>
    <cellStyle name="Note 23" xfId="3391" xr:uid="{00000000-0005-0000-0000-000024160000}"/>
    <cellStyle name="Note 24" xfId="3392" xr:uid="{00000000-0005-0000-0000-000025160000}"/>
    <cellStyle name="Note 25" xfId="3393" xr:uid="{00000000-0005-0000-0000-000026160000}"/>
    <cellStyle name="Note 26" xfId="3394" xr:uid="{00000000-0005-0000-0000-000027160000}"/>
    <cellStyle name="Note 27" xfId="3395" xr:uid="{00000000-0005-0000-0000-000028160000}"/>
    <cellStyle name="Note 28" xfId="3396" xr:uid="{00000000-0005-0000-0000-000029160000}"/>
    <cellStyle name="Note 29" xfId="3397" xr:uid="{00000000-0005-0000-0000-00002A160000}"/>
    <cellStyle name="Note 3" xfId="295" xr:uid="{00000000-0005-0000-0000-00002B160000}"/>
    <cellStyle name="Note 3 2" xfId="371" xr:uid="{00000000-0005-0000-0000-00002C160000}"/>
    <cellStyle name="Note 3 2 2" xfId="642" xr:uid="{00000000-0005-0000-0000-00002D160000}"/>
    <cellStyle name="Note 3 2 2 2" xfId="643" xr:uid="{00000000-0005-0000-0000-00002E160000}"/>
    <cellStyle name="Note 3 2 2 3" xfId="3399" xr:uid="{00000000-0005-0000-0000-00002F160000}"/>
    <cellStyle name="Note 3 2 2 4" xfId="3398" xr:uid="{00000000-0005-0000-0000-000030160000}"/>
    <cellStyle name="Note 3 2 3" xfId="644" xr:uid="{00000000-0005-0000-0000-000031160000}"/>
    <cellStyle name="Note 3 2 4" xfId="645" xr:uid="{00000000-0005-0000-0000-000032160000}"/>
    <cellStyle name="Note 3 2 5" xfId="3400" xr:uid="{00000000-0005-0000-0000-000033160000}"/>
    <cellStyle name="Note 3 3" xfId="646" xr:uid="{00000000-0005-0000-0000-000034160000}"/>
    <cellStyle name="Note 3 3 2" xfId="647" xr:uid="{00000000-0005-0000-0000-000035160000}"/>
    <cellStyle name="Note 3 4" xfId="648" xr:uid="{00000000-0005-0000-0000-000036160000}"/>
    <cellStyle name="Note 3 4 2" xfId="649" xr:uid="{00000000-0005-0000-0000-000037160000}"/>
    <cellStyle name="Note 3 5" xfId="650" xr:uid="{00000000-0005-0000-0000-000038160000}"/>
    <cellStyle name="Note 3 6" xfId="641" xr:uid="{00000000-0005-0000-0000-000039160000}"/>
    <cellStyle name="Note 3 7" xfId="415" xr:uid="{00000000-0005-0000-0000-00003A160000}"/>
    <cellStyle name="Note 3 8" xfId="397" xr:uid="{00000000-0005-0000-0000-00003B160000}"/>
    <cellStyle name="Note 30" xfId="3369" xr:uid="{00000000-0005-0000-0000-00003C160000}"/>
    <cellStyle name="Note 4" xfId="296" xr:uid="{00000000-0005-0000-0000-00003D160000}"/>
    <cellStyle name="Note 4 2" xfId="372" xr:uid="{00000000-0005-0000-0000-00003E160000}"/>
    <cellStyle name="Note 4 2 2" xfId="3401" xr:uid="{00000000-0005-0000-0000-00003F160000}"/>
    <cellStyle name="Note 4 2 3" xfId="3402" xr:uid="{00000000-0005-0000-0000-000040160000}"/>
    <cellStyle name="Note 4 3" xfId="3403" xr:uid="{00000000-0005-0000-0000-000041160000}"/>
    <cellStyle name="Note 4 4" xfId="3404" xr:uid="{00000000-0005-0000-0000-000042160000}"/>
    <cellStyle name="Note 4 5" xfId="3405" xr:uid="{00000000-0005-0000-0000-000043160000}"/>
    <cellStyle name="Note 4 6" xfId="3406" xr:uid="{00000000-0005-0000-0000-000044160000}"/>
    <cellStyle name="Note 4 7" xfId="416" xr:uid="{00000000-0005-0000-0000-000045160000}"/>
    <cellStyle name="Note 4 8" xfId="398" xr:uid="{00000000-0005-0000-0000-000046160000}"/>
    <cellStyle name="Note 5" xfId="651" xr:uid="{00000000-0005-0000-0000-000047160000}"/>
    <cellStyle name="Note 5 10" xfId="3408" xr:uid="{00000000-0005-0000-0000-000048160000}"/>
    <cellStyle name="Note 5 11" xfId="3409" xr:uid="{00000000-0005-0000-0000-000049160000}"/>
    <cellStyle name="Note 5 12" xfId="3410" xr:uid="{00000000-0005-0000-0000-00004A160000}"/>
    <cellStyle name="Note 5 13" xfId="3407" xr:uid="{00000000-0005-0000-0000-00004B160000}"/>
    <cellStyle name="Note 5 2" xfId="3411" xr:uid="{00000000-0005-0000-0000-00004C160000}"/>
    <cellStyle name="Note 5 2 2" xfId="3412" xr:uid="{00000000-0005-0000-0000-00004D160000}"/>
    <cellStyle name="Note 5 2 3" xfId="3413" xr:uid="{00000000-0005-0000-0000-00004E160000}"/>
    <cellStyle name="Note 5 2 4" xfId="6217" xr:uid="{00000000-0005-0000-0000-00004F160000}"/>
    <cellStyle name="Note 5 3" xfId="3414" xr:uid="{00000000-0005-0000-0000-000050160000}"/>
    <cellStyle name="Note 5 3 2" xfId="3415" xr:uid="{00000000-0005-0000-0000-000051160000}"/>
    <cellStyle name="Note 5 3 2 2" xfId="3416" xr:uid="{00000000-0005-0000-0000-000052160000}"/>
    <cellStyle name="Note 5 3 3" xfId="3417" xr:uid="{00000000-0005-0000-0000-000053160000}"/>
    <cellStyle name="Note 5 4" xfId="3418" xr:uid="{00000000-0005-0000-0000-000054160000}"/>
    <cellStyle name="Note 5 4 2" xfId="3419" xr:uid="{00000000-0005-0000-0000-000055160000}"/>
    <cellStyle name="Note 5 5" xfId="3420" xr:uid="{00000000-0005-0000-0000-000056160000}"/>
    <cellStyle name="Note 5 6" xfId="3421" xr:uid="{00000000-0005-0000-0000-000057160000}"/>
    <cellStyle name="Note 5 6 2" xfId="3422" xr:uid="{00000000-0005-0000-0000-000058160000}"/>
    <cellStyle name="Note 5 6 2 2" xfId="3423" xr:uid="{00000000-0005-0000-0000-000059160000}"/>
    <cellStyle name="Note 5 7" xfId="3424" xr:uid="{00000000-0005-0000-0000-00005A160000}"/>
    <cellStyle name="Note 5 7 2" xfId="3425" xr:uid="{00000000-0005-0000-0000-00005B160000}"/>
    <cellStyle name="Note 5 8" xfId="3426" xr:uid="{00000000-0005-0000-0000-00005C160000}"/>
    <cellStyle name="Note 5 9" xfId="3427" xr:uid="{00000000-0005-0000-0000-00005D160000}"/>
    <cellStyle name="Note 6" xfId="652" xr:uid="{00000000-0005-0000-0000-00005E160000}"/>
    <cellStyle name="Note 6 10" xfId="6476" xr:uid="{00000000-0005-0000-0000-00005F160000}"/>
    <cellStyle name="Note 6 2" xfId="3429" xr:uid="{00000000-0005-0000-0000-000060160000}"/>
    <cellStyle name="Note 6 2 2" xfId="3430" xr:uid="{00000000-0005-0000-0000-000061160000}"/>
    <cellStyle name="Note 6 3" xfId="3431" xr:uid="{00000000-0005-0000-0000-000062160000}"/>
    <cellStyle name="Note 6 3 2" xfId="3432" xr:uid="{00000000-0005-0000-0000-000063160000}"/>
    <cellStyle name="Note 6 3 3" xfId="3433" xr:uid="{00000000-0005-0000-0000-000064160000}"/>
    <cellStyle name="Note 6 3 3 2" xfId="3434" xr:uid="{00000000-0005-0000-0000-000065160000}"/>
    <cellStyle name="Note 6 3 3 3" xfId="3435" xr:uid="{00000000-0005-0000-0000-000066160000}"/>
    <cellStyle name="Note 6 3 4" xfId="3436" xr:uid="{00000000-0005-0000-0000-000067160000}"/>
    <cellStyle name="Note 6 4" xfId="3437" xr:uid="{00000000-0005-0000-0000-000068160000}"/>
    <cellStyle name="Note 6 4 2" xfId="3438" xr:uid="{00000000-0005-0000-0000-000069160000}"/>
    <cellStyle name="Note 6 4 3" xfId="3439" xr:uid="{00000000-0005-0000-0000-00006A160000}"/>
    <cellStyle name="Note 6 4 4" xfId="3440" xr:uid="{00000000-0005-0000-0000-00006B160000}"/>
    <cellStyle name="Note 6 4 5" xfId="3441" xr:uid="{00000000-0005-0000-0000-00006C160000}"/>
    <cellStyle name="Note 6 5" xfId="3442" xr:uid="{00000000-0005-0000-0000-00006D160000}"/>
    <cellStyle name="Note 6 6" xfId="3443" xr:uid="{00000000-0005-0000-0000-00006E160000}"/>
    <cellStyle name="Note 6 7" xfId="3444" xr:uid="{00000000-0005-0000-0000-00006F160000}"/>
    <cellStyle name="Note 6 8" xfId="3428" xr:uid="{00000000-0005-0000-0000-000070160000}"/>
    <cellStyle name="Note 6 9" xfId="3942" xr:uid="{00000000-0005-0000-0000-000071160000}"/>
    <cellStyle name="Note 7" xfId="653" xr:uid="{00000000-0005-0000-0000-000072160000}"/>
    <cellStyle name="Note 7 2" xfId="3445" xr:uid="{00000000-0005-0000-0000-000073160000}"/>
    <cellStyle name="Note 7 3" xfId="3446" xr:uid="{00000000-0005-0000-0000-000074160000}"/>
    <cellStyle name="Note 7 3 2" xfId="3447" xr:uid="{00000000-0005-0000-0000-000075160000}"/>
    <cellStyle name="Note 7 3 3" xfId="3448" xr:uid="{00000000-0005-0000-0000-000076160000}"/>
    <cellStyle name="Note 7 4" xfId="3449" xr:uid="{00000000-0005-0000-0000-000077160000}"/>
    <cellStyle name="Note 8" xfId="654" xr:uid="{00000000-0005-0000-0000-000078160000}"/>
    <cellStyle name="Note 8 2" xfId="3450" xr:uid="{00000000-0005-0000-0000-000079160000}"/>
    <cellStyle name="Note 8 3" xfId="3451" xr:uid="{00000000-0005-0000-0000-00007A160000}"/>
    <cellStyle name="Note 8 3 2" xfId="3452" xr:uid="{00000000-0005-0000-0000-00007B160000}"/>
    <cellStyle name="Note 8 4" xfId="3453" xr:uid="{00000000-0005-0000-0000-00007C160000}"/>
    <cellStyle name="Note 8 5" xfId="3454" xr:uid="{00000000-0005-0000-0000-00007D160000}"/>
    <cellStyle name="Note 9" xfId="655" xr:uid="{00000000-0005-0000-0000-00007E160000}"/>
    <cellStyle name="Note 9 2" xfId="3455" xr:uid="{00000000-0005-0000-0000-00007F160000}"/>
    <cellStyle name="Œ…‹æØ‚è [0.00]_!!!GO" xfId="3456" xr:uid="{00000000-0005-0000-0000-000080160000}"/>
    <cellStyle name="Œ…‹æØ‚è_!!!GO" xfId="3457" xr:uid="{00000000-0005-0000-0000-000081160000}"/>
    <cellStyle name="Output" xfId="297" builtinId="21" customBuiltin="1"/>
    <cellStyle name="Output 2" xfId="298" xr:uid="{00000000-0005-0000-0000-000083160000}"/>
    <cellStyle name="Output 2 2" xfId="657" xr:uid="{00000000-0005-0000-0000-000084160000}"/>
    <cellStyle name="Output 2 2 2" xfId="3459" xr:uid="{00000000-0005-0000-0000-000085160000}"/>
    <cellStyle name="Output 2 2 3" xfId="3460" xr:uid="{00000000-0005-0000-0000-000086160000}"/>
    <cellStyle name="Output 2 2 4" xfId="3461" xr:uid="{00000000-0005-0000-0000-000087160000}"/>
    <cellStyle name="Output 2 2 5" xfId="3458" xr:uid="{00000000-0005-0000-0000-000088160000}"/>
    <cellStyle name="Output 2 2 6" xfId="6218" xr:uid="{00000000-0005-0000-0000-000089160000}"/>
    <cellStyle name="Output 2 3" xfId="6219" xr:uid="{00000000-0005-0000-0000-00008A160000}"/>
    <cellStyle name="Output 2 3 2" xfId="6466" xr:uid="{00000000-0005-0000-0000-00008B160000}"/>
    <cellStyle name="Output 3" xfId="299" xr:uid="{00000000-0005-0000-0000-00008C160000}"/>
    <cellStyle name="Output 3 2" xfId="3462" xr:uid="{00000000-0005-0000-0000-00008D160000}"/>
    <cellStyle name="Output 3 2 2" xfId="6220" xr:uid="{00000000-0005-0000-0000-00008E160000}"/>
    <cellStyle name="Output 3 2 2 2" xfId="6455" xr:uid="{00000000-0005-0000-0000-00008F160000}"/>
    <cellStyle name="Output 3 2 3" xfId="6450" xr:uid="{00000000-0005-0000-0000-000090160000}"/>
    <cellStyle name="Output 3 3" xfId="6221" xr:uid="{00000000-0005-0000-0000-000091160000}"/>
    <cellStyle name="Output 3 3 2" xfId="6492" xr:uid="{00000000-0005-0000-0000-000092160000}"/>
    <cellStyle name="Output 4" xfId="658" xr:uid="{00000000-0005-0000-0000-000093160000}"/>
    <cellStyle name="Output 4 2" xfId="3463" xr:uid="{00000000-0005-0000-0000-000094160000}"/>
    <cellStyle name="Output 4 2 2" xfId="6222" xr:uid="{00000000-0005-0000-0000-000095160000}"/>
    <cellStyle name="Output 4 3" xfId="3464" xr:uid="{00000000-0005-0000-0000-000096160000}"/>
    <cellStyle name="Output 4 4" xfId="6495" xr:uid="{00000000-0005-0000-0000-000097160000}"/>
    <cellStyle name="Output 5" xfId="659" xr:uid="{00000000-0005-0000-0000-000098160000}"/>
    <cellStyle name="Output 6" xfId="656" xr:uid="{00000000-0005-0000-0000-000099160000}"/>
    <cellStyle name="per.style" xfId="3465" xr:uid="{00000000-0005-0000-0000-00009A160000}"/>
    <cellStyle name="per.style 2" xfId="6223" xr:uid="{00000000-0005-0000-0000-00009B160000}"/>
    <cellStyle name="Percent [0]" xfId="3466" xr:uid="{00000000-0005-0000-0000-00009C160000}"/>
    <cellStyle name="Percent [0] 2" xfId="6224" xr:uid="{00000000-0005-0000-0000-00009D160000}"/>
    <cellStyle name="Percent [00]" xfId="3467" xr:uid="{00000000-0005-0000-0000-00009E160000}"/>
    <cellStyle name="Percent [2]" xfId="3468" xr:uid="{00000000-0005-0000-0000-00009F160000}"/>
    <cellStyle name="Percent 10" xfId="3469" xr:uid="{00000000-0005-0000-0000-0000A0160000}"/>
    <cellStyle name="Percent 10 2" xfId="6225" xr:uid="{00000000-0005-0000-0000-0000A1160000}"/>
    <cellStyle name="Percent 11" xfId="3470" xr:uid="{00000000-0005-0000-0000-0000A2160000}"/>
    <cellStyle name="Percent 11 2" xfId="6226" xr:uid="{00000000-0005-0000-0000-0000A3160000}"/>
    <cellStyle name="Percent 12" xfId="3471" xr:uid="{00000000-0005-0000-0000-0000A4160000}"/>
    <cellStyle name="Percent 13" xfId="3472" xr:uid="{00000000-0005-0000-0000-0000A5160000}"/>
    <cellStyle name="Percent 14" xfId="3473" xr:uid="{00000000-0005-0000-0000-0000A6160000}"/>
    <cellStyle name="Percent 15" xfId="3474" xr:uid="{00000000-0005-0000-0000-0000A7160000}"/>
    <cellStyle name="Percent 16" xfId="3475" xr:uid="{00000000-0005-0000-0000-0000A8160000}"/>
    <cellStyle name="Percent 17" xfId="3476" xr:uid="{00000000-0005-0000-0000-0000A9160000}"/>
    <cellStyle name="Percent 18" xfId="3477" xr:uid="{00000000-0005-0000-0000-0000AA160000}"/>
    <cellStyle name="Percent 19" xfId="3478" xr:uid="{00000000-0005-0000-0000-0000AB160000}"/>
    <cellStyle name="Percent 2" xfId="660" xr:uid="{00000000-0005-0000-0000-0000AC160000}"/>
    <cellStyle name="Percent 2 2" xfId="3479" xr:uid="{00000000-0005-0000-0000-0000AD160000}"/>
    <cellStyle name="Percent 2 2 2" xfId="3480" xr:uid="{00000000-0005-0000-0000-0000AE160000}"/>
    <cellStyle name="Percent 2 2 2 2" xfId="3481" xr:uid="{00000000-0005-0000-0000-0000AF160000}"/>
    <cellStyle name="Percent 2 2 3" xfId="3482" xr:uid="{00000000-0005-0000-0000-0000B0160000}"/>
    <cellStyle name="Percent 2 2 4" xfId="6227" xr:uid="{00000000-0005-0000-0000-0000B1160000}"/>
    <cellStyle name="Percent 2 3" xfId="6228" xr:uid="{00000000-0005-0000-0000-0000B2160000}"/>
    <cellStyle name="Percent 2 4" xfId="6229" xr:uid="{00000000-0005-0000-0000-0000B3160000}"/>
    <cellStyle name="Percent 20" xfId="3483" xr:uid="{00000000-0005-0000-0000-0000B4160000}"/>
    <cellStyle name="Percent 21" xfId="3484" xr:uid="{00000000-0005-0000-0000-0000B5160000}"/>
    <cellStyle name="Percent 22" xfId="3485" xr:uid="{00000000-0005-0000-0000-0000B6160000}"/>
    <cellStyle name="Percent 23" xfId="3486" xr:uid="{00000000-0005-0000-0000-0000B7160000}"/>
    <cellStyle name="Percent 24" xfId="3487" xr:uid="{00000000-0005-0000-0000-0000B8160000}"/>
    <cellStyle name="Percent 25" xfId="3488" xr:uid="{00000000-0005-0000-0000-0000B9160000}"/>
    <cellStyle name="Percent 26" xfId="3489" xr:uid="{00000000-0005-0000-0000-0000BA160000}"/>
    <cellStyle name="Percent 27" xfId="3490" xr:uid="{00000000-0005-0000-0000-0000BB160000}"/>
    <cellStyle name="Percent 28" xfId="3491" xr:uid="{00000000-0005-0000-0000-0000BC160000}"/>
    <cellStyle name="Percent 29" xfId="3492" xr:uid="{00000000-0005-0000-0000-0000BD160000}"/>
    <cellStyle name="Percent 3" xfId="677" xr:uid="{00000000-0005-0000-0000-0000BE160000}"/>
    <cellStyle name="Percent 3 2" xfId="3494" xr:uid="{00000000-0005-0000-0000-0000BF160000}"/>
    <cellStyle name="Percent 3 3" xfId="3493" xr:uid="{00000000-0005-0000-0000-0000C0160000}"/>
    <cellStyle name="Percent 3 4" xfId="3944" xr:uid="{00000000-0005-0000-0000-0000C1160000}"/>
    <cellStyle name="Percent 4" xfId="3495" xr:uid="{00000000-0005-0000-0000-0000C2160000}"/>
    <cellStyle name="Percent 4 2" xfId="3496" xr:uid="{00000000-0005-0000-0000-0000C3160000}"/>
    <cellStyle name="Percent 5" xfId="3497" xr:uid="{00000000-0005-0000-0000-0000C4160000}"/>
    <cellStyle name="Percent 6" xfId="3498" xr:uid="{00000000-0005-0000-0000-0000C5160000}"/>
    <cellStyle name="Percent 7" xfId="3499" xr:uid="{00000000-0005-0000-0000-0000C6160000}"/>
    <cellStyle name="Percent 7 2" xfId="3500" xr:uid="{00000000-0005-0000-0000-0000C7160000}"/>
    <cellStyle name="Percent 7 3" xfId="3501" xr:uid="{00000000-0005-0000-0000-0000C8160000}"/>
    <cellStyle name="Percent 8" xfId="3502" xr:uid="{00000000-0005-0000-0000-0000C9160000}"/>
    <cellStyle name="Percent 8 2" xfId="6230" xr:uid="{00000000-0005-0000-0000-0000CA160000}"/>
    <cellStyle name="Percent 9" xfId="3503" xr:uid="{00000000-0005-0000-0000-0000CB160000}"/>
    <cellStyle name="Percent 9 2" xfId="6231" xr:uid="{00000000-0005-0000-0000-0000CC160000}"/>
    <cellStyle name="Percent[0]" xfId="3504" xr:uid="{00000000-0005-0000-0000-0000CD160000}"/>
    <cellStyle name="Percent[0] 2" xfId="6232" xr:uid="{00000000-0005-0000-0000-0000CE160000}"/>
    <cellStyle name="Percent[2]" xfId="3505" xr:uid="{00000000-0005-0000-0000-0000CF160000}"/>
    <cellStyle name="Percent[2] 2" xfId="6233" xr:uid="{00000000-0005-0000-0000-0000D0160000}"/>
    <cellStyle name="PrePop Currency (0)" xfId="3506" xr:uid="{00000000-0005-0000-0000-0000D1160000}"/>
    <cellStyle name="PrePop Currency (2)" xfId="3507" xr:uid="{00000000-0005-0000-0000-0000D2160000}"/>
    <cellStyle name="PrePop Currency (2) 2" xfId="6234" xr:uid="{00000000-0005-0000-0000-0000D3160000}"/>
    <cellStyle name="PrePop Units (0)" xfId="3508" xr:uid="{00000000-0005-0000-0000-0000D4160000}"/>
    <cellStyle name="PrePop Units (1)" xfId="3509" xr:uid="{00000000-0005-0000-0000-0000D5160000}"/>
    <cellStyle name="PrePop Units (1) 2" xfId="6235" xr:uid="{00000000-0005-0000-0000-0000D6160000}"/>
    <cellStyle name="PrePop Units (2)" xfId="3510" xr:uid="{00000000-0005-0000-0000-0000D7160000}"/>
    <cellStyle name="PrePop Units (2) 2" xfId="6236" xr:uid="{00000000-0005-0000-0000-0000D8160000}"/>
    <cellStyle name="PSChar" xfId="3511" xr:uid="{00000000-0005-0000-0000-0000D9160000}"/>
    <cellStyle name="PSChar 2" xfId="3512" xr:uid="{00000000-0005-0000-0000-0000DA160000}"/>
    <cellStyle name="PSChar 2 2" xfId="6238" xr:uid="{00000000-0005-0000-0000-0000DB160000}"/>
    <cellStyle name="PSChar 3" xfId="6237" xr:uid="{00000000-0005-0000-0000-0000DC160000}"/>
    <cellStyle name="PSDate" xfId="3513" xr:uid="{00000000-0005-0000-0000-0000DD160000}"/>
    <cellStyle name="PSDate 2" xfId="6239" xr:uid="{00000000-0005-0000-0000-0000DE160000}"/>
    <cellStyle name="PSDec" xfId="3514" xr:uid="{00000000-0005-0000-0000-0000DF160000}"/>
    <cellStyle name="PSDec 2" xfId="6240" xr:uid="{00000000-0005-0000-0000-0000E0160000}"/>
    <cellStyle name="PSHeading" xfId="3515" xr:uid="{00000000-0005-0000-0000-0000E1160000}"/>
    <cellStyle name="PSHeading 2" xfId="3516" xr:uid="{00000000-0005-0000-0000-0000E2160000}"/>
    <cellStyle name="PSHeading 2 2" xfId="3517" xr:uid="{00000000-0005-0000-0000-0000E3160000}"/>
    <cellStyle name="PSHeading 2 3" xfId="6242" xr:uid="{00000000-0005-0000-0000-0000E4160000}"/>
    <cellStyle name="PSHeading 3" xfId="6241" xr:uid="{00000000-0005-0000-0000-0000E5160000}"/>
    <cellStyle name="PSInt" xfId="3518" xr:uid="{00000000-0005-0000-0000-0000E6160000}"/>
    <cellStyle name="PSInt 2" xfId="6243" xr:uid="{00000000-0005-0000-0000-0000E7160000}"/>
    <cellStyle name="PSSpacer" xfId="3519" xr:uid="{00000000-0005-0000-0000-0000E8160000}"/>
    <cellStyle name="PSSpacer 2" xfId="3520" xr:uid="{00000000-0005-0000-0000-0000E9160000}"/>
    <cellStyle name="PSSpacer 2 2" xfId="6245" xr:uid="{00000000-0005-0000-0000-0000EA160000}"/>
    <cellStyle name="PSSpacer 3" xfId="6244" xr:uid="{00000000-0005-0000-0000-0000EB160000}"/>
    <cellStyle name="R?" xfId="3521" xr:uid="{00000000-0005-0000-0000-0000EC160000}"/>
    <cellStyle name="R? 2" xfId="3522" xr:uid="{00000000-0005-0000-0000-0000ED160000}"/>
    <cellStyle name="R? 2 2" xfId="6247" xr:uid="{00000000-0005-0000-0000-0000EE160000}"/>
    <cellStyle name="R? 3" xfId="6246" xr:uid="{00000000-0005-0000-0000-0000EF160000}"/>
    <cellStyle name="sche|_x0005_" xfId="3523" xr:uid="{00000000-0005-0000-0000-0000F0160000}"/>
    <cellStyle name="sche|_x0005_ 2" xfId="3524" xr:uid="{00000000-0005-0000-0000-0000F1160000}"/>
    <cellStyle name="sche|_x0005_ 2 2" xfId="6249" xr:uid="{00000000-0005-0000-0000-0000F2160000}"/>
    <cellStyle name="sche|_x0005_ 3" xfId="6248" xr:uid="{00000000-0005-0000-0000-0000F3160000}"/>
    <cellStyle name="Standaard_Blank" xfId="3525" xr:uid="{00000000-0005-0000-0000-0000F4160000}"/>
    <cellStyle name="STANDARD" xfId="3526" xr:uid="{00000000-0005-0000-0000-0000F5160000}"/>
    <cellStyle name="STANDARD 2" xfId="6250" xr:uid="{00000000-0005-0000-0000-0000F6160000}"/>
    <cellStyle name="Standard_BM##6123456123000Stüli-16-11-20011" xfId="300" xr:uid="{00000000-0005-0000-0000-0000F7160000}"/>
    <cellStyle name="STFRM" xfId="3527" xr:uid="{00000000-0005-0000-0000-0000F8160000}"/>
    <cellStyle name="STFRM 2" xfId="3528" xr:uid="{00000000-0005-0000-0000-0000F9160000}"/>
    <cellStyle name="STFRM 2 2" xfId="6252" xr:uid="{00000000-0005-0000-0000-0000FA160000}"/>
    <cellStyle name="STFRM 3" xfId="6251" xr:uid="{00000000-0005-0000-0000-0000FB160000}"/>
    <cellStyle name="Style 1" xfId="301" xr:uid="{00000000-0005-0000-0000-0000FC160000}"/>
    <cellStyle name="Style 1 2" xfId="3529" xr:uid="{00000000-0005-0000-0000-0000FD160000}"/>
    <cellStyle name="Style 1 2 2" xfId="3530" xr:uid="{00000000-0005-0000-0000-0000FE160000}"/>
    <cellStyle name="Style 1 2 2 2" xfId="3531" xr:uid="{00000000-0005-0000-0000-0000FF160000}"/>
    <cellStyle name="Style 1 2 2 3" xfId="6254" xr:uid="{00000000-0005-0000-0000-000000170000}"/>
    <cellStyle name="Style 1 2 3" xfId="3532" xr:uid="{00000000-0005-0000-0000-000001170000}"/>
    <cellStyle name="Style 1 2 4" xfId="6253" xr:uid="{00000000-0005-0000-0000-000002170000}"/>
    <cellStyle name="Style 1 2 6" xfId="3533" xr:uid="{00000000-0005-0000-0000-000003170000}"/>
    <cellStyle name="Style 1 3" xfId="3534" xr:uid="{00000000-0005-0000-0000-000004170000}"/>
    <cellStyle name="Style 1 3 2" xfId="3535" xr:uid="{00000000-0005-0000-0000-000005170000}"/>
    <cellStyle name="Style 1 3 3" xfId="3536" xr:uid="{00000000-0005-0000-0000-000006170000}"/>
    <cellStyle name="Style 1 3 4" xfId="6255" xr:uid="{00000000-0005-0000-0000-000007170000}"/>
    <cellStyle name="Style 1 4" xfId="6256" xr:uid="{00000000-0005-0000-0000-000008170000}"/>
    <cellStyle name="subhead" xfId="3537" xr:uid="{00000000-0005-0000-0000-000009170000}"/>
    <cellStyle name="subhead 2" xfId="3538" xr:uid="{00000000-0005-0000-0000-00000A170000}"/>
    <cellStyle name="subhead 2 2" xfId="6258" xr:uid="{00000000-0005-0000-0000-00000B170000}"/>
    <cellStyle name="subhead 3" xfId="6257" xr:uid="{00000000-0005-0000-0000-00000C170000}"/>
    <cellStyle name="Text Indent A" xfId="3539" xr:uid="{00000000-0005-0000-0000-00000D170000}"/>
    <cellStyle name="Text Indent A 2" xfId="6259" xr:uid="{00000000-0005-0000-0000-00000E170000}"/>
    <cellStyle name="Text Indent B" xfId="3540" xr:uid="{00000000-0005-0000-0000-00000F170000}"/>
    <cellStyle name="Text Indent B 2" xfId="6260" xr:uid="{00000000-0005-0000-0000-000010170000}"/>
    <cellStyle name="Text Indent C" xfId="3541" xr:uid="{00000000-0005-0000-0000-000011170000}"/>
    <cellStyle name="Title" xfId="302" builtinId="15" customBuiltin="1"/>
    <cellStyle name="Title 2" xfId="303" xr:uid="{00000000-0005-0000-0000-000013170000}"/>
    <cellStyle name="Title 2 10" xfId="304" xr:uid="{00000000-0005-0000-0000-000014170000}"/>
    <cellStyle name="Title 2 10 2" xfId="6262" xr:uid="{00000000-0005-0000-0000-000015170000}"/>
    <cellStyle name="Title 2 11" xfId="305" xr:uid="{00000000-0005-0000-0000-000016170000}"/>
    <cellStyle name="Title 2 11 2" xfId="6263" xr:uid="{00000000-0005-0000-0000-000017170000}"/>
    <cellStyle name="Title 2 12" xfId="306" xr:uid="{00000000-0005-0000-0000-000018170000}"/>
    <cellStyle name="Title 2 12 2" xfId="6264" xr:uid="{00000000-0005-0000-0000-000019170000}"/>
    <cellStyle name="Title 2 13" xfId="307" xr:uid="{00000000-0005-0000-0000-00001A170000}"/>
    <cellStyle name="Title 2 13 2" xfId="6265" xr:uid="{00000000-0005-0000-0000-00001B170000}"/>
    <cellStyle name="Title 2 14" xfId="308" xr:uid="{00000000-0005-0000-0000-00001C170000}"/>
    <cellStyle name="Title 2 14 2" xfId="6266" xr:uid="{00000000-0005-0000-0000-00001D170000}"/>
    <cellStyle name="Title 2 15" xfId="309" xr:uid="{00000000-0005-0000-0000-00001E170000}"/>
    <cellStyle name="Title 2 15 2" xfId="6267" xr:uid="{00000000-0005-0000-0000-00001F170000}"/>
    <cellStyle name="Title 2 16" xfId="310" xr:uid="{00000000-0005-0000-0000-000020170000}"/>
    <cellStyle name="Title 2 16 2" xfId="6268" xr:uid="{00000000-0005-0000-0000-000021170000}"/>
    <cellStyle name="Title 2 17" xfId="311" xr:uid="{00000000-0005-0000-0000-000022170000}"/>
    <cellStyle name="Title 2 17 2" xfId="6269" xr:uid="{00000000-0005-0000-0000-000023170000}"/>
    <cellStyle name="Title 2 18" xfId="312" xr:uid="{00000000-0005-0000-0000-000024170000}"/>
    <cellStyle name="Title 2 18 2" xfId="6270" xr:uid="{00000000-0005-0000-0000-000025170000}"/>
    <cellStyle name="Title 2 19" xfId="313" xr:uid="{00000000-0005-0000-0000-000026170000}"/>
    <cellStyle name="Title 2 19 2" xfId="6271" xr:uid="{00000000-0005-0000-0000-000027170000}"/>
    <cellStyle name="Title 2 2" xfId="314" xr:uid="{00000000-0005-0000-0000-000028170000}"/>
    <cellStyle name="Title 2 2 10" xfId="315" xr:uid="{00000000-0005-0000-0000-000029170000}"/>
    <cellStyle name="Title 2 2 10 2" xfId="3544" xr:uid="{00000000-0005-0000-0000-00002A170000}"/>
    <cellStyle name="Title 2 2 10 2 2" xfId="6272" xr:uid="{00000000-0005-0000-0000-00002B170000}"/>
    <cellStyle name="Title 2 2 10 3" xfId="3545" xr:uid="{00000000-0005-0000-0000-00002C170000}"/>
    <cellStyle name="Title 2 2 10 4" xfId="3546" xr:uid="{00000000-0005-0000-0000-00002D170000}"/>
    <cellStyle name="Title 2 2 10 5" xfId="3547" xr:uid="{00000000-0005-0000-0000-00002E170000}"/>
    <cellStyle name="Title 2 2 10 6" xfId="3548" xr:uid="{00000000-0005-0000-0000-00002F170000}"/>
    <cellStyle name="Title 2 2 10 7" xfId="3549" xr:uid="{00000000-0005-0000-0000-000030170000}"/>
    <cellStyle name="Title 2 2 10 8" xfId="3550" xr:uid="{00000000-0005-0000-0000-000031170000}"/>
    <cellStyle name="Title 2 2 10 9" xfId="3543" xr:uid="{00000000-0005-0000-0000-000032170000}"/>
    <cellStyle name="Title 2 2 11" xfId="316" xr:uid="{00000000-0005-0000-0000-000033170000}"/>
    <cellStyle name="Title 2 2 11 2" xfId="3552" xr:uid="{00000000-0005-0000-0000-000034170000}"/>
    <cellStyle name="Title 2 2 11 2 2" xfId="6273" xr:uid="{00000000-0005-0000-0000-000035170000}"/>
    <cellStyle name="Title 2 2 11 3" xfId="3553" xr:uid="{00000000-0005-0000-0000-000036170000}"/>
    <cellStyle name="Title 2 2 11 4" xfId="3554" xr:uid="{00000000-0005-0000-0000-000037170000}"/>
    <cellStyle name="Title 2 2 11 5" xfId="3555" xr:uid="{00000000-0005-0000-0000-000038170000}"/>
    <cellStyle name="Title 2 2 11 6" xfId="3556" xr:uid="{00000000-0005-0000-0000-000039170000}"/>
    <cellStyle name="Title 2 2 11 7" xfId="3557" xr:uid="{00000000-0005-0000-0000-00003A170000}"/>
    <cellStyle name="Title 2 2 11 8" xfId="3558" xr:uid="{00000000-0005-0000-0000-00003B170000}"/>
    <cellStyle name="Title 2 2 11 9" xfId="3551" xr:uid="{00000000-0005-0000-0000-00003C170000}"/>
    <cellStyle name="Title 2 2 12" xfId="317" xr:uid="{00000000-0005-0000-0000-00003D170000}"/>
    <cellStyle name="Title 2 2 12 2" xfId="3560" xr:uid="{00000000-0005-0000-0000-00003E170000}"/>
    <cellStyle name="Title 2 2 12 2 2" xfId="6274" xr:uid="{00000000-0005-0000-0000-00003F170000}"/>
    <cellStyle name="Title 2 2 12 3" xfId="3561" xr:uid="{00000000-0005-0000-0000-000040170000}"/>
    <cellStyle name="Title 2 2 12 4" xfId="3562" xr:uid="{00000000-0005-0000-0000-000041170000}"/>
    <cellStyle name="Title 2 2 12 5" xfId="3563" xr:uid="{00000000-0005-0000-0000-000042170000}"/>
    <cellStyle name="Title 2 2 12 6" xfId="3564" xr:uid="{00000000-0005-0000-0000-000043170000}"/>
    <cellStyle name="Title 2 2 12 7" xfId="3565" xr:uid="{00000000-0005-0000-0000-000044170000}"/>
    <cellStyle name="Title 2 2 12 8" xfId="3566" xr:uid="{00000000-0005-0000-0000-000045170000}"/>
    <cellStyle name="Title 2 2 12 9" xfId="3559" xr:uid="{00000000-0005-0000-0000-000046170000}"/>
    <cellStyle name="Title 2 2 13" xfId="318" xr:uid="{00000000-0005-0000-0000-000047170000}"/>
    <cellStyle name="Title 2 2 13 2" xfId="3568" xr:uid="{00000000-0005-0000-0000-000048170000}"/>
    <cellStyle name="Title 2 2 13 2 2" xfId="6275" xr:uid="{00000000-0005-0000-0000-000049170000}"/>
    <cellStyle name="Title 2 2 13 3" xfId="3569" xr:uid="{00000000-0005-0000-0000-00004A170000}"/>
    <cellStyle name="Title 2 2 13 4" xfId="3570" xr:uid="{00000000-0005-0000-0000-00004B170000}"/>
    <cellStyle name="Title 2 2 13 5" xfId="3571" xr:uid="{00000000-0005-0000-0000-00004C170000}"/>
    <cellStyle name="Title 2 2 13 6" xfId="3572" xr:uid="{00000000-0005-0000-0000-00004D170000}"/>
    <cellStyle name="Title 2 2 13 7" xfId="3573" xr:uid="{00000000-0005-0000-0000-00004E170000}"/>
    <cellStyle name="Title 2 2 13 8" xfId="3574" xr:uid="{00000000-0005-0000-0000-00004F170000}"/>
    <cellStyle name="Title 2 2 13 9" xfId="3567" xr:uid="{00000000-0005-0000-0000-000050170000}"/>
    <cellStyle name="Title 2 2 14" xfId="319" xr:uid="{00000000-0005-0000-0000-000051170000}"/>
    <cellStyle name="Title 2 2 14 2" xfId="3576" xr:uid="{00000000-0005-0000-0000-000052170000}"/>
    <cellStyle name="Title 2 2 14 2 2" xfId="6276" xr:uid="{00000000-0005-0000-0000-000053170000}"/>
    <cellStyle name="Title 2 2 14 3" xfId="3577" xr:uid="{00000000-0005-0000-0000-000054170000}"/>
    <cellStyle name="Title 2 2 14 4" xfId="3578" xr:uid="{00000000-0005-0000-0000-000055170000}"/>
    <cellStyle name="Title 2 2 14 5" xfId="3579" xr:uid="{00000000-0005-0000-0000-000056170000}"/>
    <cellStyle name="Title 2 2 14 6" xfId="3580" xr:uid="{00000000-0005-0000-0000-000057170000}"/>
    <cellStyle name="Title 2 2 14 7" xfId="3581" xr:uid="{00000000-0005-0000-0000-000058170000}"/>
    <cellStyle name="Title 2 2 14 8" xfId="3582" xr:uid="{00000000-0005-0000-0000-000059170000}"/>
    <cellStyle name="Title 2 2 14 9" xfId="3575" xr:uid="{00000000-0005-0000-0000-00005A170000}"/>
    <cellStyle name="Title 2 2 15" xfId="320" xr:uid="{00000000-0005-0000-0000-00005B170000}"/>
    <cellStyle name="Title 2 2 15 2" xfId="3584" xr:uid="{00000000-0005-0000-0000-00005C170000}"/>
    <cellStyle name="Title 2 2 15 2 2" xfId="6277" xr:uid="{00000000-0005-0000-0000-00005D170000}"/>
    <cellStyle name="Title 2 2 15 3" xfId="3585" xr:uid="{00000000-0005-0000-0000-00005E170000}"/>
    <cellStyle name="Title 2 2 15 4" xfId="3586" xr:uid="{00000000-0005-0000-0000-00005F170000}"/>
    <cellStyle name="Title 2 2 15 5" xfId="3587" xr:uid="{00000000-0005-0000-0000-000060170000}"/>
    <cellStyle name="Title 2 2 15 6" xfId="3588" xr:uid="{00000000-0005-0000-0000-000061170000}"/>
    <cellStyle name="Title 2 2 15 7" xfId="3589" xr:uid="{00000000-0005-0000-0000-000062170000}"/>
    <cellStyle name="Title 2 2 15 8" xfId="3590" xr:uid="{00000000-0005-0000-0000-000063170000}"/>
    <cellStyle name="Title 2 2 15 9" xfId="3583" xr:uid="{00000000-0005-0000-0000-000064170000}"/>
    <cellStyle name="Title 2 2 16" xfId="321" xr:uid="{00000000-0005-0000-0000-000065170000}"/>
    <cellStyle name="Title 2 2 16 2" xfId="3592" xr:uid="{00000000-0005-0000-0000-000066170000}"/>
    <cellStyle name="Title 2 2 16 2 2" xfId="6278" xr:uid="{00000000-0005-0000-0000-000067170000}"/>
    <cellStyle name="Title 2 2 16 3" xfId="3593" xr:uid="{00000000-0005-0000-0000-000068170000}"/>
    <cellStyle name="Title 2 2 16 4" xfId="3594" xr:uid="{00000000-0005-0000-0000-000069170000}"/>
    <cellStyle name="Title 2 2 16 5" xfId="3595" xr:uid="{00000000-0005-0000-0000-00006A170000}"/>
    <cellStyle name="Title 2 2 16 6" xfId="3596" xr:uid="{00000000-0005-0000-0000-00006B170000}"/>
    <cellStyle name="Title 2 2 16 7" xfId="3597" xr:uid="{00000000-0005-0000-0000-00006C170000}"/>
    <cellStyle name="Title 2 2 16 8" xfId="3598" xr:uid="{00000000-0005-0000-0000-00006D170000}"/>
    <cellStyle name="Title 2 2 16 9" xfId="3591" xr:uid="{00000000-0005-0000-0000-00006E170000}"/>
    <cellStyle name="Title 2 2 17" xfId="322" xr:uid="{00000000-0005-0000-0000-00006F170000}"/>
    <cellStyle name="Title 2 2 17 2" xfId="3600" xr:uid="{00000000-0005-0000-0000-000070170000}"/>
    <cellStyle name="Title 2 2 17 2 2" xfId="6279" xr:uid="{00000000-0005-0000-0000-000071170000}"/>
    <cellStyle name="Title 2 2 17 3" xfId="3601" xr:uid="{00000000-0005-0000-0000-000072170000}"/>
    <cellStyle name="Title 2 2 17 4" xfId="3602" xr:uid="{00000000-0005-0000-0000-000073170000}"/>
    <cellStyle name="Title 2 2 17 5" xfId="3603" xr:uid="{00000000-0005-0000-0000-000074170000}"/>
    <cellStyle name="Title 2 2 17 6" xfId="3604" xr:uid="{00000000-0005-0000-0000-000075170000}"/>
    <cellStyle name="Title 2 2 17 7" xfId="3605" xr:uid="{00000000-0005-0000-0000-000076170000}"/>
    <cellStyle name="Title 2 2 17 8" xfId="3606" xr:uid="{00000000-0005-0000-0000-000077170000}"/>
    <cellStyle name="Title 2 2 17 9" xfId="3599" xr:uid="{00000000-0005-0000-0000-000078170000}"/>
    <cellStyle name="Title 2 2 18" xfId="323" xr:uid="{00000000-0005-0000-0000-000079170000}"/>
    <cellStyle name="Title 2 2 18 2" xfId="3608" xr:uid="{00000000-0005-0000-0000-00007A170000}"/>
    <cellStyle name="Title 2 2 18 2 2" xfId="6280" xr:uid="{00000000-0005-0000-0000-00007B170000}"/>
    <cellStyle name="Title 2 2 18 3" xfId="3609" xr:uid="{00000000-0005-0000-0000-00007C170000}"/>
    <cellStyle name="Title 2 2 18 4" xfId="3610" xr:uid="{00000000-0005-0000-0000-00007D170000}"/>
    <cellStyle name="Title 2 2 18 5" xfId="3611" xr:uid="{00000000-0005-0000-0000-00007E170000}"/>
    <cellStyle name="Title 2 2 18 6" xfId="3612" xr:uid="{00000000-0005-0000-0000-00007F170000}"/>
    <cellStyle name="Title 2 2 18 7" xfId="3613" xr:uid="{00000000-0005-0000-0000-000080170000}"/>
    <cellStyle name="Title 2 2 18 8" xfId="3614" xr:uid="{00000000-0005-0000-0000-000081170000}"/>
    <cellStyle name="Title 2 2 18 9" xfId="3607" xr:uid="{00000000-0005-0000-0000-000082170000}"/>
    <cellStyle name="Title 2 2 19" xfId="324" xr:uid="{00000000-0005-0000-0000-000083170000}"/>
    <cellStyle name="Title 2 2 19 2" xfId="3616" xr:uid="{00000000-0005-0000-0000-000084170000}"/>
    <cellStyle name="Title 2 2 19 2 2" xfId="6281" xr:uid="{00000000-0005-0000-0000-000085170000}"/>
    <cellStyle name="Title 2 2 19 3" xfId="3617" xr:uid="{00000000-0005-0000-0000-000086170000}"/>
    <cellStyle name="Title 2 2 19 4" xfId="3618" xr:uid="{00000000-0005-0000-0000-000087170000}"/>
    <cellStyle name="Title 2 2 19 5" xfId="3619" xr:uid="{00000000-0005-0000-0000-000088170000}"/>
    <cellStyle name="Title 2 2 19 6" xfId="3620" xr:uid="{00000000-0005-0000-0000-000089170000}"/>
    <cellStyle name="Title 2 2 19 7" xfId="3621" xr:uid="{00000000-0005-0000-0000-00008A170000}"/>
    <cellStyle name="Title 2 2 19 8" xfId="3622" xr:uid="{00000000-0005-0000-0000-00008B170000}"/>
    <cellStyle name="Title 2 2 19 9" xfId="3615" xr:uid="{00000000-0005-0000-0000-00008C170000}"/>
    <cellStyle name="Title 2 2 2" xfId="325" xr:uid="{00000000-0005-0000-0000-00008D170000}"/>
    <cellStyle name="Title 2 2 2 10" xfId="3624" xr:uid="{00000000-0005-0000-0000-00008E170000}"/>
    <cellStyle name="Title 2 2 2 11" xfId="3625" xr:uid="{00000000-0005-0000-0000-00008F170000}"/>
    <cellStyle name="Title 2 2 2 12" xfId="3626" xr:uid="{00000000-0005-0000-0000-000090170000}"/>
    <cellStyle name="Title 2 2 2 13" xfId="3623" xr:uid="{00000000-0005-0000-0000-000091170000}"/>
    <cellStyle name="Title 2 2 2 2" xfId="662" xr:uid="{00000000-0005-0000-0000-000092170000}"/>
    <cellStyle name="Title 2 2 2 2 2" xfId="6283" xr:uid="{00000000-0005-0000-0000-000093170000}"/>
    <cellStyle name="Title 2 2 2 2 3" xfId="6282" xr:uid="{00000000-0005-0000-0000-000094170000}"/>
    <cellStyle name="Title 2 2 2 3" xfId="663" xr:uid="{00000000-0005-0000-0000-000095170000}"/>
    <cellStyle name="Title 2 2 2 4" xfId="664" xr:uid="{00000000-0005-0000-0000-000096170000}"/>
    <cellStyle name="Title 2 2 2 5" xfId="665" xr:uid="{00000000-0005-0000-0000-000097170000}"/>
    <cellStyle name="Title 2 2 2 6" xfId="3627" xr:uid="{00000000-0005-0000-0000-000098170000}"/>
    <cellStyle name="Title 2 2 2 7" xfId="3628" xr:uid="{00000000-0005-0000-0000-000099170000}"/>
    <cellStyle name="Title 2 2 2 8" xfId="3629" xr:uid="{00000000-0005-0000-0000-00009A170000}"/>
    <cellStyle name="Title 2 2 2 9" xfId="3630" xr:uid="{00000000-0005-0000-0000-00009B170000}"/>
    <cellStyle name="Title 2 2 20" xfId="326" xr:uid="{00000000-0005-0000-0000-00009C170000}"/>
    <cellStyle name="Title 2 2 20 2" xfId="3632" xr:uid="{00000000-0005-0000-0000-00009D170000}"/>
    <cellStyle name="Title 2 2 20 2 2" xfId="6284" xr:uid="{00000000-0005-0000-0000-00009E170000}"/>
    <cellStyle name="Title 2 2 20 3" xfId="3633" xr:uid="{00000000-0005-0000-0000-00009F170000}"/>
    <cellStyle name="Title 2 2 20 4" xfId="3634" xr:uid="{00000000-0005-0000-0000-0000A0170000}"/>
    <cellStyle name="Title 2 2 20 5" xfId="3635" xr:uid="{00000000-0005-0000-0000-0000A1170000}"/>
    <cellStyle name="Title 2 2 20 6" xfId="3636" xr:uid="{00000000-0005-0000-0000-0000A2170000}"/>
    <cellStyle name="Title 2 2 20 7" xfId="3637" xr:uid="{00000000-0005-0000-0000-0000A3170000}"/>
    <cellStyle name="Title 2 2 20 8" xfId="3638" xr:uid="{00000000-0005-0000-0000-0000A4170000}"/>
    <cellStyle name="Title 2 2 20 9" xfId="3631" xr:uid="{00000000-0005-0000-0000-0000A5170000}"/>
    <cellStyle name="Title 2 2 21" xfId="327" xr:uid="{00000000-0005-0000-0000-0000A6170000}"/>
    <cellStyle name="Title 2 2 21 2" xfId="3640" xr:uid="{00000000-0005-0000-0000-0000A7170000}"/>
    <cellStyle name="Title 2 2 21 2 2" xfId="6285" xr:uid="{00000000-0005-0000-0000-0000A8170000}"/>
    <cellStyle name="Title 2 2 21 3" xfId="3641" xr:uid="{00000000-0005-0000-0000-0000A9170000}"/>
    <cellStyle name="Title 2 2 21 4" xfId="3642" xr:uid="{00000000-0005-0000-0000-0000AA170000}"/>
    <cellStyle name="Title 2 2 21 5" xfId="3643" xr:uid="{00000000-0005-0000-0000-0000AB170000}"/>
    <cellStyle name="Title 2 2 21 6" xfId="3644" xr:uid="{00000000-0005-0000-0000-0000AC170000}"/>
    <cellStyle name="Title 2 2 21 7" xfId="3645" xr:uid="{00000000-0005-0000-0000-0000AD170000}"/>
    <cellStyle name="Title 2 2 21 8" xfId="3646" xr:uid="{00000000-0005-0000-0000-0000AE170000}"/>
    <cellStyle name="Title 2 2 21 9" xfId="3639" xr:uid="{00000000-0005-0000-0000-0000AF170000}"/>
    <cellStyle name="Title 2 2 22" xfId="328" xr:uid="{00000000-0005-0000-0000-0000B0170000}"/>
    <cellStyle name="Title 2 2 22 2" xfId="3648" xr:uid="{00000000-0005-0000-0000-0000B1170000}"/>
    <cellStyle name="Title 2 2 22 2 2" xfId="6286" xr:uid="{00000000-0005-0000-0000-0000B2170000}"/>
    <cellStyle name="Title 2 2 22 3" xfId="3649" xr:uid="{00000000-0005-0000-0000-0000B3170000}"/>
    <cellStyle name="Title 2 2 22 4" xfId="3650" xr:uid="{00000000-0005-0000-0000-0000B4170000}"/>
    <cellStyle name="Title 2 2 22 5" xfId="3651" xr:uid="{00000000-0005-0000-0000-0000B5170000}"/>
    <cellStyle name="Title 2 2 22 6" xfId="3652" xr:uid="{00000000-0005-0000-0000-0000B6170000}"/>
    <cellStyle name="Title 2 2 22 7" xfId="3653" xr:uid="{00000000-0005-0000-0000-0000B7170000}"/>
    <cellStyle name="Title 2 2 22 8" xfId="3654" xr:uid="{00000000-0005-0000-0000-0000B8170000}"/>
    <cellStyle name="Title 2 2 22 9" xfId="3647" xr:uid="{00000000-0005-0000-0000-0000B9170000}"/>
    <cellStyle name="Title 2 2 23" xfId="3655" xr:uid="{00000000-0005-0000-0000-0000BA170000}"/>
    <cellStyle name="Title 2 2 23 2" xfId="3656" xr:uid="{00000000-0005-0000-0000-0000BB170000}"/>
    <cellStyle name="Title 2 2 23 2 2" xfId="3657" xr:uid="{00000000-0005-0000-0000-0000BC170000}"/>
    <cellStyle name="Title 2 2 23 3" xfId="6287" xr:uid="{00000000-0005-0000-0000-0000BD170000}"/>
    <cellStyle name="Title 2 2 24" xfId="3658" xr:uid="{00000000-0005-0000-0000-0000BE170000}"/>
    <cellStyle name="Title 2 2 24 2" xfId="6288" xr:uid="{00000000-0005-0000-0000-0000BF170000}"/>
    <cellStyle name="Title 2 2 25" xfId="3659" xr:uid="{00000000-0005-0000-0000-0000C0170000}"/>
    <cellStyle name="Title 2 2 25 2" xfId="6289" xr:uid="{00000000-0005-0000-0000-0000C1170000}"/>
    <cellStyle name="Title 2 2 26" xfId="3660" xr:uid="{00000000-0005-0000-0000-0000C2170000}"/>
    <cellStyle name="Title 2 2 26 2" xfId="6290" xr:uid="{00000000-0005-0000-0000-0000C3170000}"/>
    <cellStyle name="Title 2 2 27" xfId="3661" xr:uid="{00000000-0005-0000-0000-0000C4170000}"/>
    <cellStyle name="Title 2 2 27 2" xfId="6291" xr:uid="{00000000-0005-0000-0000-0000C5170000}"/>
    <cellStyle name="Title 2 2 28" xfId="3662" xr:uid="{00000000-0005-0000-0000-0000C6170000}"/>
    <cellStyle name="Title 2 2 28 2" xfId="6292" xr:uid="{00000000-0005-0000-0000-0000C7170000}"/>
    <cellStyle name="Title 2 2 29" xfId="3663" xr:uid="{00000000-0005-0000-0000-0000C8170000}"/>
    <cellStyle name="Title 2 2 29 2" xfId="6293" xr:uid="{00000000-0005-0000-0000-0000C9170000}"/>
    <cellStyle name="Title 2 2 3" xfId="329" xr:uid="{00000000-0005-0000-0000-0000CA170000}"/>
    <cellStyle name="Title 2 2 3 10" xfId="3665" xr:uid="{00000000-0005-0000-0000-0000CB170000}"/>
    <cellStyle name="Title 2 2 3 11" xfId="3664" xr:uid="{00000000-0005-0000-0000-0000CC170000}"/>
    <cellStyle name="Title 2 2 3 2" xfId="3666" xr:uid="{00000000-0005-0000-0000-0000CD170000}"/>
    <cellStyle name="Title 2 2 3 2 2" xfId="6294" xr:uid="{00000000-0005-0000-0000-0000CE170000}"/>
    <cellStyle name="Title 2 2 3 3" xfId="3667" xr:uid="{00000000-0005-0000-0000-0000CF170000}"/>
    <cellStyle name="Title 2 2 3 3 2" xfId="6295" xr:uid="{00000000-0005-0000-0000-0000D0170000}"/>
    <cellStyle name="Title 2 2 3 4" xfId="3668" xr:uid="{00000000-0005-0000-0000-0000D1170000}"/>
    <cellStyle name="Title 2 2 3 5" xfId="3669" xr:uid="{00000000-0005-0000-0000-0000D2170000}"/>
    <cellStyle name="Title 2 2 3 6" xfId="3670" xr:uid="{00000000-0005-0000-0000-0000D3170000}"/>
    <cellStyle name="Title 2 2 3 7" xfId="3671" xr:uid="{00000000-0005-0000-0000-0000D4170000}"/>
    <cellStyle name="Title 2 2 3 8" xfId="3672" xr:uid="{00000000-0005-0000-0000-0000D5170000}"/>
    <cellStyle name="Title 2 2 3 9" xfId="3673" xr:uid="{00000000-0005-0000-0000-0000D6170000}"/>
    <cellStyle name="Title 2 2 30" xfId="3674" xr:uid="{00000000-0005-0000-0000-0000D7170000}"/>
    <cellStyle name="Title 2 2 30 2" xfId="6296" xr:uid="{00000000-0005-0000-0000-0000D8170000}"/>
    <cellStyle name="Title 2 2 31" xfId="3675" xr:uid="{00000000-0005-0000-0000-0000D9170000}"/>
    <cellStyle name="Title 2 2 31 2" xfId="6297" xr:uid="{00000000-0005-0000-0000-0000DA170000}"/>
    <cellStyle name="Title 2 2 32" xfId="6298" xr:uid="{00000000-0005-0000-0000-0000DB170000}"/>
    <cellStyle name="Title 2 2 4" xfId="330" xr:uid="{00000000-0005-0000-0000-0000DC170000}"/>
    <cellStyle name="Title 2 2 4 10" xfId="3677" xr:uid="{00000000-0005-0000-0000-0000DD170000}"/>
    <cellStyle name="Title 2 2 4 11" xfId="3676" xr:uid="{00000000-0005-0000-0000-0000DE170000}"/>
    <cellStyle name="Title 2 2 4 2" xfId="3678" xr:uid="{00000000-0005-0000-0000-0000DF170000}"/>
    <cellStyle name="Title 2 2 4 2 2" xfId="6299" xr:uid="{00000000-0005-0000-0000-0000E0170000}"/>
    <cellStyle name="Title 2 2 4 3" xfId="3679" xr:uid="{00000000-0005-0000-0000-0000E1170000}"/>
    <cellStyle name="Title 2 2 4 3 2" xfId="6300" xr:uid="{00000000-0005-0000-0000-0000E2170000}"/>
    <cellStyle name="Title 2 2 4 4" xfId="3680" xr:uid="{00000000-0005-0000-0000-0000E3170000}"/>
    <cellStyle name="Title 2 2 4 5" xfId="3681" xr:uid="{00000000-0005-0000-0000-0000E4170000}"/>
    <cellStyle name="Title 2 2 4 6" xfId="3682" xr:uid="{00000000-0005-0000-0000-0000E5170000}"/>
    <cellStyle name="Title 2 2 4 7" xfId="3683" xr:uid="{00000000-0005-0000-0000-0000E6170000}"/>
    <cellStyle name="Title 2 2 4 8" xfId="3684" xr:uid="{00000000-0005-0000-0000-0000E7170000}"/>
    <cellStyle name="Title 2 2 4 9" xfId="3685" xr:uid="{00000000-0005-0000-0000-0000E8170000}"/>
    <cellStyle name="Title 2 2 5" xfId="331" xr:uid="{00000000-0005-0000-0000-0000E9170000}"/>
    <cellStyle name="Title 2 2 5 2" xfId="3687" xr:uid="{00000000-0005-0000-0000-0000EA170000}"/>
    <cellStyle name="Title 2 2 5 2 2" xfId="6301" xr:uid="{00000000-0005-0000-0000-0000EB170000}"/>
    <cellStyle name="Title 2 2 5 3" xfId="3688" xr:uid="{00000000-0005-0000-0000-0000EC170000}"/>
    <cellStyle name="Title 2 2 5 4" xfId="3689" xr:uid="{00000000-0005-0000-0000-0000ED170000}"/>
    <cellStyle name="Title 2 2 5 5" xfId="3690" xr:uid="{00000000-0005-0000-0000-0000EE170000}"/>
    <cellStyle name="Title 2 2 5 6" xfId="3691" xr:uid="{00000000-0005-0000-0000-0000EF170000}"/>
    <cellStyle name="Title 2 2 5 7" xfId="3692" xr:uid="{00000000-0005-0000-0000-0000F0170000}"/>
    <cellStyle name="Title 2 2 5 8" xfId="3693" xr:uid="{00000000-0005-0000-0000-0000F1170000}"/>
    <cellStyle name="Title 2 2 5 9" xfId="3686" xr:uid="{00000000-0005-0000-0000-0000F2170000}"/>
    <cellStyle name="Title 2 2 6" xfId="332" xr:uid="{00000000-0005-0000-0000-0000F3170000}"/>
    <cellStyle name="Title 2 2 6 2" xfId="3695" xr:uid="{00000000-0005-0000-0000-0000F4170000}"/>
    <cellStyle name="Title 2 2 6 2 2" xfId="6302" xr:uid="{00000000-0005-0000-0000-0000F5170000}"/>
    <cellStyle name="Title 2 2 6 3" xfId="3696" xr:uid="{00000000-0005-0000-0000-0000F6170000}"/>
    <cellStyle name="Title 2 2 6 4" xfId="3697" xr:uid="{00000000-0005-0000-0000-0000F7170000}"/>
    <cellStyle name="Title 2 2 6 5" xfId="3698" xr:uid="{00000000-0005-0000-0000-0000F8170000}"/>
    <cellStyle name="Title 2 2 6 6" xfId="3699" xr:uid="{00000000-0005-0000-0000-0000F9170000}"/>
    <cellStyle name="Title 2 2 6 7" xfId="3700" xr:uid="{00000000-0005-0000-0000-0000FA170000}"/>
    <cellStyle name="Title 2 2 6 8" xfId="3701" xr:uid="{00000000-0005-0000-0000-0000FB170000}"/>
    <cellStyle name="Title 2 2 6 9" xfId="3694" xr:uid="{00000000-0005-0000-0000-0000FC170000}"/>
    <cellStyle name="Title 2 2 7" xfId="333" xr:uid="{00000000-0005-0000-0000-0000FD170000}"/>
    <cellStyle name="Title 2 2 7 2" xfId="3703" xr:uid="{00000000-0005-0000-0000-0000FE170000}"/>
    <cellStyle name="Title 2 2 7 2 2" xfId="6303" xr:uid="{00000000-0005-0000-0000-0000FF170000}"/>
    <cellStyle name="Title 2 2 7 3" xfId="3704" xr:uid="{00000000-0005-0000-0000-000000180000}"/>
    <cellStyle name="Title 2 2 7 4" xfId="3705" xr:uid="{00000000-0005-0000-0000-000001180000}"/>
    <cellStyle name="Title 2 2 7 5" xfId="3706" xr:uid="{00000000-0005-0000-0000-000002180000}"/>
    <cellStyle name="Title 2 2 7 6" xfId="3707" xr:uid="{00000000-0005-0000-0000-000003180000}"/>
    <cellStyle name="Title 2 2 7 7" xfId="3708" xr:uid="{00000000-0005-0000-0000-000004180000}"/>
    <cellStyle name="Title 2 2 7 8" xfId="3709" xr:uid="{00000000-0005-0000-0000-000005180000}"/>
    <cellStyle name="Title 2 2 7 9" xfId="3702" xr:uid="{00000000-0005-0000-0000-000006180000}"/>
    <cellStyle name="Title 2 2 8" xfId="334" xr:uid="{00000000-0005-0000-0000-000007180000}"/>
    <cellStyle name="Title 2 2 8 2" xfId="3711" xr:uid="{00000000-0005-0000-0000-000008180000}"/>
    <cellStyle name="Title 2 2 8 2 2" xfId="6304" xr:uid="{00000000-0005-0000-0000-000009180000}"/>
    <cellStyle name="Title 2 2 8 3" xfId="3712" xr:uid="{00000000-0005-0000-0000-00000A180000}"/>
    <cellStyle name="Title 2 2 8 4" xfId="3713" xr:uid="{00000000-0005-0000-0000-00000B180000}"/>
    <cellStyle name="Title 2 2 8 5" xfId="3714" xr:uid="{00000000-0005-0000-0000-00000C180000}"/>
    <cellStyle name="Title 2 2 8 6" xfId="3715" xr:uid="{00000000-0005-0000-0000-00000D180000}"/>
    <cellStyle name="Title 2 2 8 7" xfId="3716" xr:uid="{00000000-0005-0000-0000-00000E180000}"/>
    <cellStyle name="Title 2 2 8 8" xfId="3717" xr:uid="{00000000-0005-0000-0000-00000F180000}"/>
    <cellStyle name="Title 2 2 8 9" xfId="3710" xr:uid="{00000000-0005-0000-0000-000010180000}"/>
    <cellStyle name="Title 2 2 9" xfId="335" xr:uid="{00000000-0005-0000-0000-000011180000}"/>
    <cellStyle name="Title 2 2 9 2" xfId="3719" xr:uid="{00000000-0005-0000-0000-000012180000}"/>
    <cellStyle name="Title 2 2 9 2 2" xfId="6305" xr:uid="{00000000-0005-0000-0000-000013180000}"/>
    <cellStyle name="Title 2 2 9 3" xfId="3720" xr:uid="{00000000-0005-0000-0000-000014180000}"/>
    <cellStyle name="Title 2 2 9 4" xfId="3721" xr:uid="{00000000-0005-0000-0000-000015180000}"/>
    <cellStyle name="Title 2 2 9 5" xfId="3722" xr:uid="{00000000-0005-0000-0000-000016180000}"/>
    <cellStyle name="Title 2 2 9 6" xfId="3723" xr:uid="{00000000-0005-0000-0000-000017180000}"/>
    <cellStyle name="Title 2 2 9 7" xfId="3724" xr:uid="{00000000-0005-0000-0000-000018180000}"/>
    <cellStyle name="Title 2 2 9 8" xfId="3725" xr:uid="{00000000-0005-0000-0000-000019180000}"/>
    <cellStyle name="Title 2 2 9 9" xfId="3718" xr:uid="{00000000-0005-0000-0000-00001A180000}"/>
    <cellStyle name="Title 2 20" xfId="336" xr:uid="{00000000-0005-0000-0000-00001B180000}"/>
    <cellStyle name="Title 2 20 2" xfId="6306" xr:uid="{00000000-0005-0000-0000-00001C180000}"/>
    <cellStyle name="Title 2 21" xfId="337" xr:uid="{00000000-0005-0000-0000-00001D180000}"/>
    <cellStyle name="Title 2 21 2" xfId="6307" xr:uid="{00000000-0005-0000-0000-00001E180000}"/>
    <cellStyle name="Title 2 22" xfId="338" xr:uid="{00000000-0005-0000-0000-00001F180000}"/>
    <cellStyle name="Title 2 22 2" xfId="6308" xr:uid="{00000000-0005-0000-0000-000020180000}"/>
    <cellStyle name="Title 2 23" xfId="3726" xr:uid="{00000000-0005-0000-0000-000021180000}"/>
    <cellStyle name="Title 2 23 2" xfId="3727" xr:uid="{00000000-0005-0000-0000-000022180000}"/>
    <cellStyle name="Title 2 23 2 2" xfId="3728" xr:uid="{00000000-0005-0000-0000-000023180000}"/>
    <cellStyle name="Title 2 23 3" xfId="3729" xr:uid="{00000000-0005-0000-0000-000024180000}"/>
    <cellStyle name="Title 2 23 4" xfId="3730" xr:uid="{00000000-0005-0000-0000-000025180000}"/>
    <cellStyle name="Title 2 23 5" xfId="3731" xr:uid="{00000000-0005-0000-0000-000026180000}"/>
    <cellStyle name="Title 2 23 6" xfId="3732" xr:uid="{00000000-0005-0000-0000-000027180000}"/>
    <cellStyle name="Title 2 23 7" xfId="6309" xr:uid="{00000000-0005-0000-0000-000028180000}"/>
    <cellStyle name="Title 2 24" xfId="3733" xr:uid="{00000000-0005-0000-0000-000029180000}"/>
    <cellStyle name="Title 2 24 2" xfId="3734" xr:uid="{00000000-0005-0000-0000-00002A180000}"/>
    <cellStyle name="Title 2 24 3" xfId="6310" xr:uid="{00000000-0005-0000-0000-00002B180000}"/>
    <cellStyle name="Title 2 25" xfId="3735" xr:uid="{00000000-0005-0000-0000-00002C180000}"/>
    <cellStyle name="Title 2 25 2" xfId="6311" xr:uid="{00000000-0005-0000-0000-00002D180000}"/>
    <cellStyle name="Title 2 26" xfId="3736" xr:uid="{00000000-0005-0000-0000-00002E180000}"/>
    <cellStyle name="Title 2 26 2" xfId="6312" xr:uid="{00000000-0005-0000-0000-00002F180000}"/>
    <cellStyle name="Title 2 27" xfId="3737" xr:uid="{00000000-0005-0000-0000-000030180000}"/>
    <cellStyle name="Title 2 27 2" xfId="6313" xr:uid="{00000000-0005-0000-0000-000031180000}"/>
    <cellStyle name="Title 2 28" xfId="3738" xr:uid="{00000000-0005-0000-0000-000032180000}"/>
    <cellStyle name="Title 2 28 2" xfId="6314" xr:uid="{00000000-0005-0000-0000-000033180000}"/>
    <cellStyle name="Title 2 29" xfId="3739" xr:uid="{00000000-0005-0000-0000-000034180000}"/>
    <cellStyle name="Title 2 29 2" xfId="6315" xr:uid="{00000000-0005-0000-0000-000035180000}"/>
    <cellStyle name="Title 2 3" xfId="339" xr:uid="{00000000-0005-0000-0000-000036180000}"/>
    <cellStyle name="Title 2 3 2" xfId="3740" xr:uid="{00000000-0005-0000-0000-000037180000}"/>
    <cellStyle name="Title 2 3 2 2" xfId="6316" xr:uid="{00000000-0005-0000-0000-000038180000}"/>
    <cellStyle name="Title 2 3 3" xfId="6317" xr:uid="{00000000-0005-0000-0000-000039180000}"/>
    <cellStyle name="Title 2 30" xfId="3741" xr:uid="{00000000-0005-0000-0000-00003A180000}"/>
    <cellStyle name="Title 2 30 2" xfId="6318" xr:uid="{00000000-0005-0000-0000-00003B180000}"/>
    <cellStyle name="Title 2 31" xfId="3742" xr:uid="{00000000-0005-0000-0000-00003C180000}"/>
    <cellStyle name="Title 2 31 2" xfId="6319" xr:uid="{00000000-0005-0000-0000-00003D180000}"/>
    <cellStyle name="Title 2 32" xfId="3743" xr:uid="{00000000-0005-0000-0000-00003E180000}"/>
    <cellStyle name="Title 2 32 2" xfId="6320" xr:uid="{00000000-0005-0000-0000-00003F180000}"/>
    <cellStyle name="Title 2 33" xfId="3744" xr:uid="{00000000-0005-0000-0000-000040180000}"/>
    <cellStyle name="Title 2 34" xfId="3745" xr:uid="{00000000-0005-0000-0000-000041180000}"/>
    <cellStyle name="Title 2 35" xfId="3746" xr:uid="{00000000-0005-0000-0000-000042180000}"/>
    <cellStyle name="Title 2 36" xfId="3747" xr:uid="{00000000-0005-0000-0000-000043180000}"/>
    <cellStyle name="Title 2 37" xfId="3748" xr:uid="{00000000-0005-0000-0000-000044180000}"/>
    <cellStyle name="Title 2 38" xfId="3749" xr:uid="{00000000-0005-0000-0000-000045180000}"/>
    <cellStyle name="Title 2 39" xfId="3542" xr:uid="{00000000-0005-0000-0000-000046180000}"/>
    <cellStyle name="Title 2 4" xfId="340" xr:uid="{00000000-0005-0000-0000-000047180000}"/>
    <cellStyle name="Title 2 4 2" xfId="3750" xr:uid="{00000000-0005-0000-0000-000048180000}"/>
    <cellStyle name="Title 2 4 2 2" xfId="6321" xr:uid="{00000000-0005-0000-0000-000049180000}"/>
    <cellStyle name="Title 2 4 3" xfId="3751" xr:uid="{00000000-0005-0000-0000-00004A180000}"/>
    <cellStyle name="Title 2 4 3 2" xfId="6322" xr:uid="{00000000-0005-0000-0000-00004B180000}"/>
    <cellStyle name="Title 2 5" xfId="341" xr:uid="{00000000-0005-0000-0000-00004C180000}"/>
    <cellStyle name="Title 2 5 2" xfId="6323" xr:uid="{00000000-0005-0000-0000-00004D180000}"/>
    <cellStyle name="Title 2 6" xfId="342" xr:uid="{00000000-0005-0000-0000-00004E180000}"/>
    <cellStyle name="Title 2 6 2" xfId="6324" xr:uid="{00000000-0005-0000-0000-00004F180000}"/>
    <cellStyle name="Title 2 7" xfId="343" xr:uid="{00000000-0005-0000-0000-000050180000}"/>
    <cellStyle name="Title 2 7 2" xfId="6325" xr:uid="{00000000-0005-0000-0000-000051180000}"/>
    <cellStyle name="Title 2 8" xfId="344" xr:uid="{00000000-0005-0000-0000-000052180000}"/>
    <cellStyle name="Title 2 8 2" xfId="6326" xr:uid="{00000000-0005-0000-0000-000053180000}"/>
    <cellStyle name="Title 2 9" xfId="345" xr:uid="{00000000-0005-0000-0000-000054180000}"/>
    <cellStyle name="Title 2 9 2" xfId="6327" xr:uid="{00000000-0005-0000-0000-000055180000}"/>
    <cellStyle name="Title 3" xfId="346" xr:uid="{00000000-0005-0000-0000-000056180000}"/>
    <cellStyle name="Title 3 2" xfId="3752" xr:uid="{00000000-0005-0000-0000-000057180000}"/>
    <cellStyle name="Title 3 2 2" xfId="6328" xr:uid="{00000000-0005-0000-0000-000058180000}"/>
    <cellStyle name="Title 3 3" xfId="6329" xr:uid="{00000000-0005-0000-0000-000059180000}"/>
    <cellStyle name="Title 4" xfId="666" xr:uid="{00000000-0005-0000-0000-00005A180000}"/>
    <cellStyle name="Title 4 2" xfId="3753" xr:uid="{00000000-0005-0000-0000-00005B180000}"/>
    <cellStyle name="Title 4 2 2" xfId="6330" xr:uid="{00000000-0005-0000-0000-00005C180000}"/>
    <cellStyle name="Title 4 3" xfId="6331" xr:uid="{00000000-0005-0000-0000-00005D180000}"/>
    <cellStyle name="Title 5" xfId="661" xr:uid="{00000000-0005-0000-0000-00005E180000}"/>
    <cellStyle name="Title 5 2" xfId="6332" xr:uid="{00000000-0005-0000-0000-00005F180000}"/>
    <cellStyle name="Title 6" xfId="675" xr:uid="{00000000-0005-0000-0000-000060180000}"/>
    <cellStyle name="Title 6 2" xfId="3754" xr:uid="{00000000-0005-0000-0000-000061180000}"/>
    <cellStyle name="Title 6 3" xfId="6261" xr:uid="{00000000-0005-0000-0000-000062180000}"/>
    <cellStyle name="Total" xfId="347" builtinId="25" customBuiltin="1"/>
    <cellStyle name="Total 2" xfId="348" xr:uid="{00000000-0005-0000-0000-000064180000}"/>
    <cellStyle name="Total 2 2" xfId="668" xr:uid="{00000000-0005-0000-0000-000065180000}"/>
    <cellStyle name="Total 2 2 2" xfId="3756" xr:uid="{00000000-0005-0000-0000-000066180000}"/>
    <cellStyle name="Total 2 2 3" xfId="3757" xr:uid="{00000000-0005-0000-0000-000067180000}"/>
    <cellStyle name="Total 2 2 4" xfId="3758" xr:uid="{00000000-0005-0000-0000-000068180000}"/>
    <cellStyle name="Total 2 2 5" xfId="3755" xr:uid="{00000000-0005-0000-0000-000069180000}"/>
    <cellStyle name="Total 2 2 6" xfId="6333" xr:uid="{00000000-0005-0000-0000-00006A180000}"/>
    <cellStyle name="Total 2 3" xfId="6334" xr:uid="{00000000-0005-0000-0000-00006B180000}"/>
    <cellStyle name="Total 2 3 2" xfId="6474" xr:uid="{00000000-0005-0000-0000-00006C180000}"/>
    <cellStyle name="Total 3" xfId="349" xr:uid="{00000000-0005-0000-0000-00006D180000}"/>
    <cellStyle name="Total 3 2" xfId="3759" xr:uid="{00000000-0005-0000-0000-00006E180000}"/>
    <cellStyle name="Total 3 2 2" xfId="6335" xr:uid="{00000000-0005-0000-0000-00006F180000}"/>
    <cellStyle name="Total 3 2 2 2" xfId="6447" xr:uid="{00000000-0005-0000-0000-000070180000}"/>
    <cellStyle name="Total 3 2 3" xfId="6444" xr:uid="{00000000-0005-0000-0000-000071180000}"/>
    <cellStyle name="Total 3 3" xfId="6336" xr:uid="{00000000-0005-0000-0000-000072180000}"/>
    <cellStyle name="Total 3 3 2" xfId="6461" xr:uid="{00000000-0005-0000-0000-000073180000}"/>
    <cellStyle name="Total 4" xfId="669" xr:uid="{00000000-0005-0000-0000-000074180000}"/>
    <cellStyle name="Total 4 2" xfId="3760" xr:uid="{00000000-0005-0000-0000-000075180000}"/>
    <cellStyle name="Total 4 2 2" xfId="6337" xr:uid="{00000000-0005-0000-0000-000076180000}"/>
    <cellStyle name="Total 4 3" xfId="3761" xr:uid="{00000000-0005-0000-0000-000077180000}"/>
    <cellStyle name="Total 4 4" xfId="6494" xr:uid="{00000000-0005-0000-0000-000078180000}"/>
    <cellStyle name="Total 5" xfId="670" xr:uid="{00000000-0005-0000-0000-000079180000}"/>
    <cellStyle name="Total 6" xfId="667" xr:uid="{00000000-0005-0000-0000-00007A180000}"/>
    <cellStyle name="Valuta [0]_Drawings" xfId="3762" xr:uid="{00000000-0005-0000-0000-00007B180000}"/>
    <cellStyle name="Valuta_Drawings" xfId="3763" xr:uid="{00000000-0005-0000-0000-00007C180000}"/>
    <cellStyle name="Warning Text" xfId="350" builtinId="11" customBuiltin="1"/>
    <cellStyle name="Warning Text 2" xfId="351" xr:uid="{00000000-0005-0000-0000-00007E180000}"/>
    <cellStyle name="Warning Text 2 2" xfId="672" xr:uid="{00000000-0005-0000-0000-00007F180000}"/>
    <cellStyle name="Warning Text 2 2 2" xfId="3765" xr:uid="{00000000-0005-0000-0000-000080180000}"/>
    <cellStyle name="Warning Text 2 2 3" xfId="3766" xr:uid="{00000000-0005-0000-0000-000081180000}"/>
    <cellStyle name="Warning Text 2 2 4" xfId="3767" xr:uid="{00000000-0005-0000-0000-000082180000}"/>
    <cellStyle name="Warning Text 2 2 5" xfId="3764" xr:uid="{00000000-0005-0000-0000-000083180000}"/>
    <cellStyle name="Warning Text 2 2 6" xfId="6338" xr:uid="{00000000-0005-0000-0000-000084180000}"/>
    <cellStyle name="Warning Text 2 3" xfId="6339" xr:uid="{00000000-0005-0000-0000-000085180000}"/>
    <cellStyle name="Warning Text 3" xfId="352" xr:uid="{00000000-0005-0000-0000-000086180000}"/>
    <cellStyle name="Warning Text 3 2" xfId="3768" xr:uid="{00000000-0005-0000-0000-000087180000}"/>
    <cellStyle name="Warning Text 3 2 2" xfId="6340" xr:uid="{00000000-0005-0000-0000-000088180000}"/>
    <cellStyle name="Warning Text 3 3" xfId="6341" xr:uid="{00000000-0005-0000-0000-000089180000}"/>
    <cellStyle name="Warning Text 4" xfId="673" xr:uid="{00000000-0005-0000-0000-00008A180000}"/>
    <cellStyle name="Warning Text 4 2" xfId="3769" xr:uid="{00000000-0005-0000-0000-00008B180000}"/>
    <cellStyle name="Warning Text 4 2 2" xfId="6342" xr:uid="{00000000-0005-0000-0000-00008C180000}"/>
    <cellStyle name="Warning Text 4 3" xfId="3770" xr:uid="{00000000-0005-0000-0000-00008D180000}"/>
    <cellStyle name="Warning Text 4 4" xfId="6465" xr:uid="{00000000-0005-0000-0000-00008E180000}"/>
    <cellStyle name="Warning Text 5" xfId="674" xr:uid="{00000000-0005-0000-0000-00008F180000}"/>
    <cellStyle name="Warning Text 6" xfId="671" xr:uid="{00000000-0005-0000-0000-000090180000}"/>
    <cellStyle name="weekly" xfId="3771" xr:uid="{00000000-0005-0000-0000-000091180000}"/>
    <cellStyle name="weekly 2" xfId="3772" xr:uid="{00000000-0005-0000-0000-000092180000}"/>
    <cellStyle name="weekly 2 2" xfId="6344" xr:uid="{00000000-0005-0000-0000-000093180000}"/>
    <cellStyle name="weekly 3" xfId="6343" xr:uid="{00000000-0005-0000-0000-000094180000}"/>
    <cellStyle name="XLS'|_x0005_t" xfId="3773" xr:uid="{00000000-0005-0000-0000-000095180000}"/>
    <cellStyle name="XLS'|_x0005_t 2" xfId="3774" xr:uid="{00000000-0005-0000-0000-000096180000}"/>
    <cellStyle name="XLS'|_x0005_t 2 2" xfId="6346" xr:uid="{00000000-0005-0000-0000-000097180000}"/>
    <cellStyle name="XLS'|_x0005_t 3" xfId="6345" xr:uid="{00000000-0005-0000-0000-000098180000}"/>
    <cellStyle name="강조색1" xfId="3775" xr:uid="{00000000-0005-0000-0000-000099180000}"/>
    <cellStyle name="강조색1 2" xfId="3776" xr:uid="{00000000-0005-0000-0000-00009A180000}"/>
    <cellStyle name="강조색1 2 2" xfId="6348" xr:uid="{00000000-0005-0000-0000-00009B180000}"/>
    <cellStyle name="강조색1 3" xfId="6347" xr:uid="{00000000-0005-0000-0000-00009C180000}"/>
    <cellStyle name="강조색2" xfId="3777" xr:uid="{00000000-0005-0000-0000-00009D180000}"/>
    <cellStyle name="강조색2 2" xfId="3778" xr:uid="{00000000-0005-0000-0000-00009E180000}"/>
    <cellStyle name="강조색2 2 2" xfId="6350" xr:uid="{00000000-0005-0000-0000-00009F180000}"/>
    <cellStyle name="강조색2 3" xfId="6349" xr:uid="{00000000-0005-0000-0000-0000A0180000}"/>
    <cellStyle name="강조색3" xfId="3779" xr:uid="{00000000-0005-0000-0000-0000A1180000}"/>
    <cellStyle name="강조색3 2" xfId="3780" xr:uid="{00000000-0005-0000-0000-0000A2180000}"/>
    <cellStyle name="강조색3 2 2" xfId="6352" xr:uid="{00000000-0005-0000-0000-0000A3180000}"/>
    <cellStyle name="강조색3 3" xfId="6351" xr:uid="{00000000-0005-0000-0000-0000A4180000}"/>
    <cellStyle name="강조색4" xfId="3781" xr:uid="{00000000-0005-0000-0000-0000A5180000}"/>
    <cellStyle name="강조색4 2" xfId="3782" xr:uid="{00000000-0005-0000-0000-0000A6180000}"/>
    <cellStyle name="강조색4 2 2" xfId="6354" xr:uid="{00000000-0005-0000-0000-0000A7180000}"/>
    <cellStyle name="강조색4 3" xfId="6353" xr:uid="{00000000-0005-0000-0000-0000A8180000}"/>
    <cellStyle name="강조색5" xfId="3783" xr:uid="{00000000-0005-0000-0000-0000A9180000}"/>
    <cellStyle name="강조색5 2" xfId="3784" xr:uid="{00000000-0005-0000-0000-0000AA180000}"/>
    <cellStyle name="강조색5 2 2" xfId="6356" xr:uid="{00000000-0005-0000-0000-0000AB180000}"/>
    <cellStyle name="강조색5 3" xfId="6355" xr:uid="{00000000-0005-0000-0000-0000AC180000}"/>
    <cellStyle name="강조색6" xfId="3785" xr:uid="{00000000-0005-0000-0000-0000AD180000}"/>
    <cellStyle name="강조색6 2" xfId="3786" xr:uid="{00000000-0005-0000-0000-0000AE180000}"/>
    <cellStyle name="강조색6 2 2" xfId="6358" xr:uid="{00000000-0005-0000-0000-0000AF180000}"/>
    <cellStyle name="강조색6 3" xfId="6357" xr:uid="{00000000-0005-0000-0000-0000B0180000}"/>
    <cellStyle name="경고문" xfId="3787" xr:uid="{00000000-0005-0000-0000-0000B1180000}"/>
    <cellStyle name="경고문 2" xfId="3788" xr:uid="{00000000-0005-0000-0000-0000B2180000}"/>
    <cellStyle name="경고문 2 2" xfId="6360" xr:uid="{00000000-0005-0000-0000-0000B3180000}"/>
    <cellStyle name="경고문 3" xfId="6359" xr:uid="{00000000-0005-0000-0000-0000B4180000}"/>
    <cellStyle name="계산" xfId="3789" xr:uid="{00000000-0005-0000-0000-0000B5180000}"/>
    <cellStyle name="계산 2" xfId="3790" xr:uid="{00000000-0005-0000-0000-0000B6180000}"/>
    <cellStyle name="계산 2 2" xfId="6362" xr:uid="{00000000-0005-0000-0000-0000B7180000}"/>
    <cellStyle name="계산 3" xfId="6361" xr:uid="{00000000-0005-0000-0000-0000B8180000}"/>
    <cellStyle name="고정출력1_10월2W타부 " xfId="3791" xr:uid="{00000000-0005-0000-0000-0000B9180000}"/>
    <cellStyle name="고정출력2_10월2W타부 " xfId="3792" xr:uid="{00000000-0005-0000-0000-0000BA180000}"/>
    <cellStyle name="나쁨" xfId="3793" xr:uid="{00000000-0005-0000-0000-0000BB180000}"/>
    <cellStyle name="나쁨 2" xfId="3794" xr:uid="{00000000-0005-0000-0000-0000BC180000}"/>
    <cellStyle name="나쁨 2 2" xfId="6364" xr:uid="{00000000-0005-0000-0000-0000BD180000}"/>
    <cellStyle name="나쁨 3" xfId="6363" xr:uid="{00000000-0005-0000-0000-0000BE180000}"/>
    <cellStyle name="똿뗦먛귟_PRODUCT DETAIL Q3 (2)_견적ASSY " xfId="3795" xr:uid="{00000000-0005-0000-0000-0000BF180000}"/>
    <cellStyle name="메모" xfId="3796" xr:uid="{00000000-0005-0000-0000-0000C0180000}"/>
    <cellStyle name="메모 2" xfId="3797" xr:uid="{00000000-0005-0000-0000-0000C1180000}"/>
    <cellStyle name="보통" xfId="3798" xr:uid="{00000000-0005-0000-0000-0000C2180000}"/>
    <cellStyle name="보통 2" xfId="3799" xr:uid="{00000000-0005-0000-0000-0000C3180000}"/>
    <cellStyle name="보통 2 2" xfId="6366" xr:uid="{00000000-0005-0000-0000-0000C4180000}"/>
    <cellStyle name="보통 3" xfId="6365" xr:uid="{00000000-0005-0000-0000-0000C5180000}"/>
    <cellStyle name="뷭?_BOOKSHIP" xfId="3800" xr:uid="{00000000-0005-0000-0000-0000C6180000}"/>
    <cellStyle name="설명 텍스트" xfId="3801" xr:uid="{00000000-0005-0000-0000-0000C7180000}"/>
    <cellStyle name="설명 텍스트 2" xfId="3802" xr:uid="{00000000-0005-0000-0000-0000C8180000}"/>
    <cellStyle name="설명 텍스트 2 2" xfId="6368" xr:uid="{00000000-0005-0000-0000-0000C9180000}"/>
    <cellStyle name="설명 텍스트 3" xfId="6367" xr:uid="{00000000-0005-0000-0000-0000CA180000}"/>
    <cellStyle name="셀 확인" xfId="3803" xr:uid="{00000000-0005-0000-0000-0000CB180000}"/>
    <cellStyle name="셀 확인 2" xfId="3804" xr:uid="{00000000-0005-0000-0000-0000CC180000}"/>
    <cellStyle name="셀 확인 2 2" xfId="6370" xr:uid="{00000000-0005-0000-0000-0000CD180000}"/>
    <cellStyle name="셀 확인 3" xfId="6369" xr:uid="{00000000-0005-0000-0000-0000CE180000}"/>
    <cellStyle name="셈迷?XLS!check_filesche|_x0005_" xfId="3805" xr:uid="{00000000-0005-0000-0000-0000CF180000}"/>
    <cellStyle name="쉼표 [0]_050913 PA RAD BOM_L4" xfId="3806" xr:uid="{00000000-0005-0000-0000-0000D0180000}"/>
    <cellStyle name="연결된 셀" xfId="3807" xr:uid="{00000000-0005-0000-0000-0000D1180000}"/>
    <cellStyle name="연결된 셀 2" xfId="3808" xr:uid="{00000000-0005-0000-0000-0000D2180000}"/>
    <cellStyle name="연결된 셀 2 2" xfId="6372" xr:uid="{00000000-0005-0000-0000-0000D3180000}"/>
    <cellStyle name="연결된 셀 3" xfId="6371" xr:uid="{00000000-0005-0000-0000-0000D4180000}"/>
    <cellStyle name="요약" xfId="3809" xr:uid="{00000000-0005-0000-0000-0000D5180000}"/>
    <cellStyle name="요약 2" xfId="3810" xr:uid="{00000000-0005-0000-0000-0000D6180000}"/>
    <cellStyle name="요약 2 2" xfId="6374" xr:uid="{00000000-0005-0000-0000-0000D7180000}"/>
    <cellStyle name="요약 3" xfId="6373" xr:uid="{00000000-0005-0000-0000-0000D8180000}"/>
    <cellStyle name="입력" xfId="3811" xr:uid="{00000000-0005-0000-0000-0000D9180000}"/>
    <cellStyle name="입력 2" xfId="3812" xr:uid="{00000000-0005-0000-0000-0000DA180000}"/>
    <cellStyle name="입력 2 2" xfId="6376" xr:uid="{00000000-0005-0000-0000-0000DB180000}"/>
    <cellStyle name="입력 3" xfId="6375" xr:uid="{00000000-0005-0000-0000-0000DC180000}"/>
    <cellStyle name="제목" xfId="3813" xr:uid="{00000000-0005-0000-0000-0000DD180000}"/>
    <cellStyle name="제목 1" xfId="3814" xr:uid="{00000000-0005-0000-0000-0000DE180000}"/>
    <cellStyle name="제목 1 2" xfId="3815" xr:uid="{00000000-0005-0000-0000-0000DF180000}"/>
    <cellStyle name="제목 1 2 2" xfId="6379" xr:uid="{00000000-0005-0000-0000-0000E0180000}"/>
    <cellStyle name="제목 1 3" xfId="6378" xr:uid="{00000000-0005-0000-0000-0000E1180000}"/>
    <cellStyle name="제목 2" xfId="3816" xr:uid="{00000000-0005-0000-0000-0000E2180000}"/>
    <cellStyle name="제목 2 2" xfId="3817" xr:uid="{00000000-0005-0000-0000-0000E3180000}"/>
    <cellStyle name="제목 2 2 2" xfId="6381" xr:uid="{00000000-0005-0000-0000-0000E4180000}"/>
    <cellStyle name="제목 2 3" xfId="6380" xr:uid="{00000000-0005-0000-0000-0000E5180000}"/>
    <cellStyle name="제목 3" xfId="3818" xr:uid="{00000000-0005-0000-0000-0000E6180000}"/>
    <cellStyle name="제목 3 2" xfId="3819" xr:uid="{00000000-0005-0000-0000-0000E7180000}"/>
    <cellStyle name="제목 3 2 2" xfId="3820" xr:uid="{00000000-0005-0000-0000-0000E8180000}"/>
    <cellStyle name="제목 3 2 3" xfId="6383" xr:uid="{00000000-0005-0000-0000-0000E9180000}"/>
    <cellStyle name="제목 3 3" xfId="6382" xr:uid="{00000000-0005-0000-0000-0000EA180000}"/>
    <cellStyle name="제목 4" xfId="3821" xr:uid="{00000000-0005-0000-0000-0000EB180000}"/>
    <cellStyle name="제목 4 2" xfId="3822" xr:uid="{00000000-0005-0000-0000-0000EC180000}"/>
    <cellStyle name="제목 4 2 2" xfId="6385" xr:uid="{00000000-0005-0000-0000-0000ED180000}"/>
    <cellStyle name="제목 4 3" xfId="6384" xr:uid="{00000000-0005-0000-0000-0000EE180000}"/>
    <cellStyle name="제목 5" xfId="3823" xr:uid="{00000000-0005-0000-0000-0000EF180000}"/>
    <cellStyle name="제목 5 2" xfId="6386" xr:uid="{00000000-0005-0000-0000-0000F0180000}"/>
    <cellStyle name="제목 6" xfId="6377" xr:uid="{00000000-0005-0000-0000-0000F1180000}"/>
    <cellStyle name="좋음" xfId="3824" xr:uid="{00000000-0005-0000-0000-0000F2180000}"/>
    <cellStyle name="좋음 2" xfId="3825" xr:uid="{00000000-0005-0000-0000-0000F3180000}"/>
    <cellStyle name="좋음 2 2" xfId="6388" xr:uid="{00000000-0005-0000-0000-0000F4180000}"/>
    <cellStyle name="좋음 3" xfId="6387" xr:uid="{00000000-0005-0000-0000-0000F5180000}"/>
    <cellStyle name="출력" xfId="3826" xr:uid="{00000000-0005-0000-0000-0000F6180000}"/>
    <cellStyle name="출력 2" xfId="3827" xr:uid="{00000000-0005-0000-0000-0000F7180000}"/>
    <cellStyle name="출력 2 2" xfId="6390" xr:uid="{00000000-0005-0000-0000-0000F8180000}"/>
    <cellStyle name="출력 3" xfId="6389" xr:uid="{00000000-0005-0000-0000-0000F9180000}"/>
    <cellStyle name="콤마 [0]_~MF002E" xfId="3828" xr:uid="{00000000-0005-0000-0000-0000FA180000}"/>
    <cellStyle name="콤마,_x0005__x0014_" xfId="3829" xr:uid="{00000000-0005-0000-0000-0000FB180000}"/>
    <cellStyle name="콤마,_x0005__x0014_ 2" xfId="3830" xr:uid="{00000000-0005-0000-0000-0000FC180000}"/>
    <cellStyle name="콤마,_x0005__x0014_ 2 2" xfId="6392" xr:uid="{00000000-0005-0000-0000-0000FD180000}"/>
    <cellStyle name="콤마,_x0005__x0014_ 3" xfId="6391" xr:uid="{00000000-0005-0000-0000-0000FE180000}"/>
    <cellStyle name="콤마_~MF002E" xfId="3831" xr:uid="{00000000-0005-0000-0000-0000FF180000}"/>
    <cellStyle name="표준_030612_FO Rear_BOM_이재훈" xfId="3832" xr:uid="{00000000-0005-0000-0000-000000190000}"/>
    <cellStyle name="一般_汽車專案計劃總目錄" xfId="3833" xr:uid="{00000000-0005-0000-0000-000001190000}"/>
    <cellStyle name="千位分隔[0]_FOREC'01" xfId="3834" xr:uid="{00000000-0005-0000-0000-000002190000}"/>
    <cellStyle name="千位分隔_FOREC'01" xfId="3835" xr:uid="{00000000-0005-0000-0000-000003190000}"/>
    <cellStyle name="好" xfId="3836" xr:uid="{00000000-0005-0000-0000-000004190000}"/>
    <cellStyle name="好 2" xfId="3837" xr:uid="{00000000-0005-0000-0000-000005190000}"/>
    <cellStyle name="好 2 2" xfId="6394" xr:uid="{00000000-0005-0000-0000-000006190000}"/>
    <cellStyle name="好 3" xfId="6393" xr:uid="{00000000-0005-0000-0000-000007190000}"/>
    <cellStyle name="差" xfId="3838" xr:uid="{00000000-0005-0000-0000-000008190000}"/>
    <cellStyle name="差 2" xfId="3839" xr:uid="{00000000-0005-0000-0000-000009190000}"/>
    <cellStyle name="差 2 2" xfId="6396" xr:uid="{00000000-0005-0000-0000-00000A190000}"/>
    <cellStyle name="差 3" xfId="6395" xr:uid="{00000000-0005-0000-0000-00000B190000}"/>
    <cellStyle name="常规 2" xfId="6487" xr:uid="{00000000-0005-0000-0000-00000C190000}"/>
    <cellStyle name="常规 5" xfId="6485" xr:uid="{00000000-0005-0000-0000-00000D190000}"/>
    <cellStyle name="常规_BOM_help_tool" xfId="3840" xr:uid="{00000000-0005-0000-0000-00000E190000}"/>
    <cellStyle name="强调文字颜色 1" xfId="3841" xr:uid="{00000000-0005-0000-0000-00000F190000}"/>
    <cellStyle name="强调文字颜色 1 2" xfId="3842" xr:uid="{00000000-0005-0000-0000-000010190000}"/>
    <cellStyle name="强调文字颜色 1 2 2" xfId="6398" xr:uid="{00000000-0005-0000-0000-000011190000}"/>
    <cellStyle name="强调文字颜色 1 3" xfId="6397" xr:uid="{00000000-0005-0000-0000-000012190000}"/>
    <cellStyle name="强调文字颜色 2" xfId="3843" xr:uid="{00000000-0005-0000-0000-000013190000}"/>
    <cellStyle name="强调文字颜色 2 2" xfId="3844" xr:uid="{00000000-0005-0000-0000-000014190000}"/>
    <cellStyle name="强调文字颜色 2 2 2" xfId="6400" xr:uid="{00000000-0005-0000-0000-000015190000}"/>
    <cellStyle name="强调文字颜色 2 3" xfId="6399" xr:uid="{00000000-0005-0000-0000-000016190000}"/>
    <cellStyle name="强调文字颜色 3" xfId="3845" xr:uid="{00000000-0005-0000-0000-000017190000}"/>
    <cellStyle name="强调文字颜色 3 2" xfId="3846" xr:uid="{00000000-0005-0000-0000-000018190000}"/>
    <cellStyle name="强调文字颜色 3 2 2" xfId="6402" xr:uid="{00000000-0005-0000-0000-000019190000}"/>
    <cellStyle name="强调文字颜色 3 3" xfId="6401" xr:uid="{00000000-0005-0000-0000-00001A190000}"/>
    <cellStyle name="强调文字颜色 4" xfId="3847" xr:uid="{00000000-0005-0000-0000-00001B190000}"/>
    <cellStyle name="强调文字颜色 4 2" xfId="3848" xr:uid="{00000000-0005-0000-0000-00001C190000}"/>
    <cellStyle name="强调文字颜色 4 2 2" xfId="6404" xr:uid="{00000000-0005-0000-0000-00001D190000}"/>
    <cellStyle name="强调文字颜色 4 3" xfId="6403" xr:uid="{00000000-0005-0000-0000-00001E190000}"/>
    <cellStyle name="强调文字颜色 5" xfId="3849" xr:uid="{00000000-0005-0000-0000-00001F190000}"/>
    <cellStyle name="强调文字颜色 5 2" xfId="3850" xr:uid="{00000000-0005-0000-0000-000020190000}"/>
    <cellStyle name="强调文字颜色 5 2 2" xfId="6406" xr:uid="{00000000-0005-0000-0000-000021190000}"/>
    <cellStyle name="强调文字颜色 5 3" xfId="6405" xr:uid="{00000000-0005-0000-0000-000022190000}"/>
    <cellStyle name="强调文字颜色 6" xfId="3851" xr:uid="{00000000-0005-0000-0000-000023190000}"/>
    <cellStyle name="强调文字颜色 6 2" xfId="3852" xr:uid="{00000000-0005-0000-0000-000024190000}"/>
    <cellStyle name="强调文字颜色 6 2 2" xfId="6408" xr:uid="{00000000-0005-0000-0000-000025190000}"/>
    <cellStyle name="强调文字颜色 6 3" xfId="6407" xr:uid="{00000000-0005-0000-0000-000026190000}"/>
    <cellStyle name="标题" xfId="3853" xr:uid="{00000000-0005-0000-0000-000027190000}"/>
    <cellStyle name="标题 1" xfId="3854" xr:uid="{00000000-0005-0000-0000-000028190000}"/>
    <cellStyle name="标题 1 2" xfId="3855" xr:uid="{00000000-0005-0000-0000-000029190000}"/>
    <cellStyle name="标题 1 2 2" xfId="6411" xr:uid="{00000000-0005-0000-0000-00002A190000}"/>
    <cellStyle name="标题 1 3" xfId="6410" xr:uid="{00000000-0005-0000-0000-00002B190000}"/>
    <cellStyle name="标题 2" xfId="3856" xr:uid="{00000000-0005-0000-0000-00002C190000}"/>
    <cellStyle name="标题 2 2" xfId="3857" xr:uid="{00000000-0005-0000-0000-00002D190000}"/>
    <cellStyle name="标题 2 2 2" xfId="6413" xr:uid="{00000000-0005-0000-0000-00002E190000}"/>
    <cellStyle name="标题 2 3" xfId="6412" xr:uid="{00000000-0005-0000-0000-00002F190000}"/>
    <cellStyle name="标题 3" xfId="3858" xr:uid="{00000000-0005-0000-0000-000030190000}"/>
    <cellStyle name="标题 3 2" xfId="3859" xr:uid="{00000000-0005-0000-0000-000031190000}"/>
    <cellStyle name="标题 3 2 2" xfId="3860" xr:uid="{00000000-0005-0000-0000-000032190000}"/>
    <cellStyle name="标题 3 2 3" xfId="6415" xr:uid="{00000000-0005-0000-0000-000033190000}"/>
    <cellStyle name="标题 3 3" xfId="6414" xr:uid="{00000000-0005-0000-0000-000034190000}"/>
    <cellStyle name="标题 4" xfId="3861" xr:uid="{00000000-0005-0000-0000-000035190000}"/>
    <cellStyle name="标题 4 2" xfId="3862" xr:uid="{00000000-0005-0000-0000-000036190000}"/>
    <cellStyle name="标题 4 2 2" xfId="6417" xr:uid="{00000000-0005-0000-0000-000037190000}"/>
    <cellStyle name="标题 4 3" xfId="6416" xr:uid="{00000000-0005-0000-0000-000038190000}"/>
    <cellStyle name="标题 5" xfId="3863" xr:uid="{00000000-0005-0000-0000-000039190000}"/>
    <cellStyle name="标题 5 2" xfId="6418" xr:uid="{00000000-0005-0000-0000-00003A190000}"/>
    <cellStyle name="标题 6" xfId="6409" xr:uid="{00000000-0005-0000-0000-00003B190000}"/>
    <cellStyle name="检查单元格" xfId="3864" xr:uid="{00000000-0005-0000-0000-00003C190000}"/>
    <cellStyle name="检查单元格 2" xfId="3865" xr:uid="{00000000-0005-0000-0000-00003D190000}"/>
    <cellStyle name="检查单元格 2 2" xfId="6420" xr:uid="{00000000-0005-0000-0000-00003E190000}"/>
    <cellStyle name="检查单元格 3" xfId="6419" xr:uid="{00000000-0005-0000-0000-00003F190000}"/>
    <cellStyle name="標準_GI,cMF&amp;TF見積明細2" xfId="3866" xr:uid="{00000000-0005-0000-0000-000040190000}"/>
    <cellStyle name="汇总" xfId="3867" xr:uid="{00000000-0005-0000-0000-000041190000}"/>
    <cellStyle name="汇总 2" xfId="3868" xr:uid="{00000000-0005-0000-0000-000042190000}"/>
    <cellStyle name="汇总 2 2" xfId="6422" xr:uid="{00000000-0005-0000-0000-000043190000}"/>
    <cellStyle name="汇总 3" xfId="6421" xr:uid="{00000000-0005-0000-0000-000044190000}"/>
    <cellStyle name="注释" xfId="3869" xr:uid="{00000000-0005-0000-0000-000045190000}"/>
    <cellStyle name="注释 2" xfId="3870" xr:uid="{00000000-0005-0000-0000-000046190000}"/>
    <cellStyle name="解释性文本" xfId="3871" xr:uid="{00000000-0005-0000-0000-000047190000}"/>
    <cellStyle name="解释性文本 2" xfId="3872" xr:uid="{00000000-0005-0000-0000-000048190000}"/>
    <cellStyle name="解释性文本 2 2" xfId="6424" xr:uid="{00000000-0005-0000-0000-000049190000}"/>
    <cellStyle name="解释性文本 3" xfId="6423" xr:uid="{00000000-0005-0000-0000-00004A190000}"/>
    <cellStyle name="警告文本" xfId="3873" xr:uid="{00000000-0005-0000-0000-00004B190000}"/>
    <cellStyle name="警告文本 2" xfId="3874" xr:uid="{00000000-0005-0000-0000-00004C190000}"/>
    <cellStyle name="警告文本 2 2" xfId="6426" xr:uid="{00000000-0005-0000-0000-00004D190000}"/>
    <cellStyle name="警告文本 3" xfId="6425" xr:uid="{00000000-0005-0000-0000-00004E190000}"/>
    <cellStyle name="计算" xfId="3875" xr:uid="{00000000-0005-0000-0000-00004F190000}"/>
    <cellStyle name="计算 2" xfId="3876" xr:uid="{00000000-0005-0000-0000-000050190000}"/>
    <cellStyle name="计算 2 2" xfId="6428" xr:uid="{00000000-0005-0000-0000-000051190000}"/>
    <cellStyle name="计算 3" xfId="6427" xr:uid="{00000000-0005-0000-0000-000052190000}"/>
    <cellStyle name="货币[0]_FOREC'01" xfId="3877" xr:uid="{00000000-0005-0000-0000-000053190000}"/>
    <cellStyle name="货币_FOREC'01" xfId="3878" xr:uid="{00000000-0005-0000-0000-000054190000}"/>
    <cellStyle name="输入" xfId="3879" xr:uid="{00000000-0005-0000-0000-000055190000}"/>
    <cellStyle name="输入 2" xfId="3880" xr:uid="{00000000-0005-0000-0000-000056190000}"/>
    <cellStyle name="输入 2 2" xfId="6430" xr:uid="{00000000-0005-0000-0000-000057190000}"/>
    <cellStyle name="输入 3" xfId="6429" xr:uid="{00000000-0005-0000-0000-000058190000}"/>
    <cellStyle name="输出" xfId="3881" xr:uid="{00000000-0005-0000-0000-000059190000}"/>
    <cellStyle name="输出 2" xfId="3882" xr:uid="{00000000-0005-0000-0000-00005A190000}"/>
    <cellStyle name="输出 2 2" xfId="6432" xr:uid="{00000000-0005-0000-0000-00005B190000}"/>
    <cellStyle name="输出 3" xfId="6431" xr:uid="{00000000-0005-0000-0000-00005C190000}"/>
    <cellStyle name="适中" xfId="3883" xr:uid="{00000000-0005-0000-0000-00005D190000}"/>
    <cellStyle name="适中 2" xfId="3884" xr:uid="{00000000-0005-0000-0000-00005E190000}"/>
    <cellStyle name="适中 2 2" xfId="6434" xr:uid="{00000000-0005-0000-0000-00005F190000}"/>
    <cellStyle name="适中 3" xfId="6433" xr:uid="{00000000-0005-0000-0000-000060190000}"/>
    <cellStyle name="链接单元格" xfId="3885" xr:uid="{00000000-0005-0000-0000-000061190000}"/>
    <cellStyle name="链接单元格 2" xfId="3886" xr:uid="{00000000-0005-0000-0000-000062190000}"/>
    <cellStyle name="链接单元格 2 2" xfId="6436" xr:uid="{00000000-0005-0000-0000-000063190000}"/>
    <cellStyle name="链接单元格 3" xfId="6435" xr:uid="{00000000-0005-0000-0000-000064190000}"/>
  </cellStyles>
  <dxfs count="18">
    <dxf>
      <font>
        <color rgb="FF9C0006"/>
      </font>
      <fill>
        <patternFill>
          <bgColor rgb="FFFFC7CE"/>
        </patternFill>
      </fill>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4"/>
        <color rgb="FFFF0000"/>
        <name val="Times New Roman"/>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rgb="FFFF0000"/>
        <name val="Times New Roman"/>
        <scheme val="none"/>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bottom style="thin">
          <color indexed="64"/>
        </bottom>
      </border>
    </dxf>
    <dxf>
      <font>
        <strike val="0"/>
        <outline val="0"/>
        <shadow val="0"/>
        <u val="none"/>
        <vertAlign val="baseline"/>
        <name val="Times New Roman"/>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outline="0">
        <left style="medium">
          <color indexed="64"/>
        </left>
        <right/>
        <top style="thin">
          <color indexed="64"/>
        </top>
        <bottom style="thin">
          <color indexed="64"/>
        </bottom>
      </border>
      <protection locked="0" hidden="0"/>
    </dxf>
    <dxf>
      <border outline="0">
        <top style="thin">
          <color indexed="64"/>
        </top>
      </border>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outline="0">
        <bottom style="thin">
          <color indexed="64"/>
        </bottom>
      </border>
    </dxf>
    <dxf>
      <font>
        <strike val="0"/>
        <outline val="0"/>
        <shadow val="0"/>
        <u val="none"/>
        <vertAlign val="baseline"/>
        <name val="Times New Roman"/>
        <scheme val="none"/>
      </font>
      <fill>
        <patternFill patternType="solid">
          <fgColor indexed="64"/>
          <bgColor theme="3" tint="0.39997558519241921"/>
        </patternFill>
      </fill>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115507</xdr:colOff>
      <xdr:row>0</xdr:row>
      <xdr:rowOff>0</xdr:rowOff>
    </xdr:from>
    <xdr:to>
      <xdr:col>1</xdr:col>
      <xdr:colOff>371705</xdr:colOff>
      <xdr:row>1</xdr:row>
      <xdr:rowOff>68036</xdr:rowOff>
    </xdr:to>
    <xdr:pic>
      <xdr:nvPicPr>
        <xdr:cNvPr id="17954" name="Picture 1" descr="Capture.PNG">
          <a:extLst>
            <a:ext uri="{FF2B5EF4-FFF2-40B4-BE49-F238E27FC236}">
              <a16:creationId xmlns:a16="http://schemas.microsoft.com/office/drawing/2014/main" id="{00000000-0008-0000-0000-0000224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9135" y="209085"/>
          <a:ext cx="929918" cy="267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137160</xdr:rowOff>
        </xdr:from>
        <xdr:to>
          <xdr:col>1</xdr:col>
          <xdr:colOff>861060</xdr:colOff>
          <xdr:row>4</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twoCellAnchor editAs="oneCell">
    <xdr:from>
      <xdr:col>0</xdr:col>
      <xdr:colOff>115507</xdr:colOff>
      <xdr:row>0</xdr:row>
      <xdr:rowOff>0</xdr:rowOff>
    </xdr:from>
    <xdr:to>
      <xdr:col>1</xdr:col>
      <xdr:colOff>371705</xdr:colOff>
      <xdr:row>1</xdr:row>
      <xdr:rowOff>68036</xdr:rowOff>
    </xdr:to>
    <xdr:pic>
      <xdr:nvPicPr>
        <xdr:cNvPr id="2" name="Picture 1" descr="Capture.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507" y="0"/>
          <a:ext cx="932473" cy="268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137160</xdr:rowOff>
        </xdr:from>
        <xdr:to>
          <xdr:col>1</xdr:col>
          <xdr:colOff>861060</xdr:colOff>
          <xdr:row>4</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chanical/ExternalProjects/NOVA/17_MIM/05%20CE%20Design/03%20Design%20Documents/04%20Internal/4.12%20IO%20list/IOList_NOVA_MIM_R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avithraashokan/Library/Containers/com.microsoft.Excel/Data/Documents/C:/Users/e5022454/Downloads/BAA%2010%20Cylinder,%20Air%20Consumption%20&amp;%20Valve%20List%20V3.0%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M Bypass Conveyor"/>
      <sheetName val="Robo IO"/>
      <sheetName val="MIM Machine"/>
      <sheetName val="DB"/>
      <sheetName val="IO List"/>
      <sheetName val="Sheet1"/>
      <sheetName val="Guidelines"/>
      <sheetName val="IOList_NOVA_MIM_R2"/>
    </sheetNames>
    <definedNames>
      <definedName name="Check_IO"/>
    </definedNames>
    <sheetDataSet>
      <sheetData sheetId="0"/>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Inputs_Table4" displayName="Inputs_Table4" ref="B11:E27" totalsRowShown="0" headerRowDxfId="17" dataDxfId="15" headerRowBorderDxfId="16" tableBorderDxfId="14" totalsRowBorderDxfId="13">
  <autoFilter ref="B11:E27" xr:uid="{00000000-0009-0000-0100-000003000000}"/>
  <tableColumns count="4">
    <tableColumn id="2" xr3:uid="{00000000-0010-0000-0000-000002000000}" name=" " dataDxfId="12"/>
    <tableColumn id="3" xr3:uid="{00000000-0010-0000-0000-000003000000}" name="SHORT NAME" dataDxfId="11"/>
    <tableColumn id="4" xr3:uid="{00000000-0010-0000-0000-000004000000}" name="ADDRESS" dataDxfId="10" dataCellStyle="Style 1"/>
    <tableColumn id="5" xr3:uid="{00000000-0010-0000-0000-000005000000}" name="FERRULE" dataDxfId="9" dataCellStyle="Style 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Outputs_Table5" displayName="Outputs_Table5" ref="B109:E158" totalsRowShown="0" headerRowDxfId="8" dataDxfId="6" headerRowBorderDxfId="7" tableBorderDxfId="5">
  <tableColumns count="4">
    <tableColumn id="2" xr3:uid="{00000000-0010-0000-0100-000002000000}" name="DESCRIPTION" dataDxfId="4" dataCellStyle="Normal 2"/>
    <tableColumn id="3" xr3:uid="{00000000-0010-0000-0100-000003000000}" name="SHORT NAME" dataDxfId="3"/>
    <tableColumn id="4" xr3:uid="{00000000-0010-0000-0100-000004000000}" name="ADDRESS" dataDxfId="2" dataCellStyle="Style 1"/>
    <tableColumn id="5" xr3:uid="{00000000-0010-0000-0100-000005000000}" name="FERRULE" dataDxfId="1" dataCellStyle="Style 1"/>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23"/>
  <sheetViews>
    <sheetView tabSelected="1" topLeftCell="A267" zoomScale="55" zoomScaleNormal="55" workbookViewId="0">
      <selection activeCell="H65" sqref="H65:H78"/>
    </sheetView>
  </sheetViews>
  <sheetFormatPr defaultColWidth="0" defaultRowHeight="15.6" outlineLevelCol="1"/>
  <cols>
    <col min="1" max="1" width="10.109375" style="31" customWidth="1"/>
    <col min="2" max="2" width="69.6640625" style="31" bestFit="1" customWidth="1"/>
    <col min="3" max="3" width="69.44140625" style="43" customWidth="1"/>
    <col min="4" max="4" width="69.6640625" style="31" customWidth="1"/>
    <col min="5" max="5" width="19.33203125" style="31" customWidth="1"/>
    <col min="6" max="6" width="29.109375" style="31" bestFit="1" customWidth="1"/>
    <col min="7" max="7" width="19.6640625" style="31" customWidth="1"/>
    <col min="8" max="8" width="20.44140625" style="31" bestFit="1" customWidth="1"/>
    <col min="9" max="9" width="25.88671875" style="31" bestFit="1" customWidth="1"/>
    <col min="10" max="10" width="38.6640625" style="31" customWidth="1"/>
    <col min="11" max="11" width="24.33203125" style="31" bestFit="1" customWidth="1"/>
    <col min="12" max="12" width="51.33203125" style="31" customWidth="1"/>
    <col min="13" max="22" width="0" style="31" hidden="1" customWidth="1"/>
    <col min="23" max="16384" width="0" style="31" hidden="1" outlineLevel="1"/>
  </cols>
  <sheetData>
    <row r="1" spans="1:12" s="5" customFormat="1">
      <c r="A1" s="122" t="s">
        <v>18</v>
      </c>
      <c r="B1" s="122"/>
      <c r="C1" s="122"/>
      <c r="D1" s="122"/>
      <c r="E1" s="122"/>
      <c r="F1" s="122"/>
      <c r="G1" s="122"/>
      <c r="H1" s="122"/>
      <c r="I1" s="122"/>
      <c r="J1" s="122"/>
      <c r="K1" s="122"/>
      <c r="L1" s="122"/>
    </row>
    <row r="2" spans="1:12" s="5" customFormat="1">
      <c r="A2" s="122"/>
      <c r="B2" s="122"/>
      <c r="C2" s="122"/>
      <c r="D2" s="122"/>
      <c r="E2" s="122"/>
      <c r="F2" s="122"/>
      <c r="G2" s="122"/>
      <c r="H2" s="122"/>
      <c r="I2" s="122"/>
      <c r="J2" s="122"/>
      <c r="K2" s="122"/>
      <c r="L2" s="122"/>
    </row>
    <row r="3" spans="1:12" s="5" customFormat="1" ht="21.75" customHeight="1">
      <c r="A3" s="127" t="s">
        <v>8</v>
      </c>
      <c r="B3" s="127"/>
      <c r="C3" s="128" t="s">
        <v>676</v>
      </c>
      <c r="D3" s="128"/>
      <c r="E3" s="128"/>
      <c r="F3" s="128"/>
      <c r="G3" s="128"/>
      <c r="H3" s="128"/>
      <c r="I3" s="128"/>
      <c r="J3" s="129" t="s">
        <v>9</v>
      </c>
      <c r="K3" s="129"/>
      <c r="L3" s="8" t="str">
        <f>CONCATENATE("VAM-",C5,"-",E5)</f>
        <v>VAM-35400207-R2.0</v>
      </c>
    </row>
    <row r="4" spans="1:12" s="5" customFormat="1" ht="17.25" customHeight="1">
      <c r="A4" s="130" t="s">
        <v>10</v>
      </c>
      <c r="B4" s="130"/>
      <c r="C4" s="128" t="s">
        <v>157</v>
      </c>
      <c r="D4" s="128"/>
      <c r="E4" s="128"/>
      <c r="F4" s="128"/>
      <c r="G4" s="128"/>
      <c r="H4" s="128"/>
      <c r="I4" s="128"/>
      <c r="J4" s="127" t="s">
        <v>11</v>
      </c>
      <c r="K4" s="127"/>
      <c r="L4" s="10">
        <v>45840</v>
      </c>
    </row>
    <row r="5" spans="1:12" s="5" customFormat="1" ht="18.75" customHeight="1">
      <c r="A5" s="130" t="s">
        <v>12</v>
      </c>
      <c r="B5" s="130"/>
      <c r="C5" s="11">
        <v>35400207</v>
      </c>
      <c r="D5" s="9" t="s">
        <v>13</v>
      </c>
      <c r="E5" s="132" t="s">
        <v>689</v>
      </c>
      <c r="F5" s="132"/>
      <c r="G5" s="132"/>
      <c r="H5" s="24"/>
      <c r="I5" s="9"/>
      <c r="J5" s="127" t="s">
        <v>14</v>
      </c>
      <c r="K5" s="127"/>
      <c r="L5" s="10">
        <v>45965</v>
      </c>
    </row>
    <row r="6" spans="1:12" s="5" customFormat="1" ht="20.25" customHeight="1">
      <c r="A6" s="12" t="s">
        <v>53</v>
      </c>
      <c r="B6" s="6" t="s">
        <v>15</v>
      </c>
      <c r="C6" s="11" t="s">
        <v>657</v>
      </c>
      <c r="D6" s="6" t="s">
        <v>16</v>
      </c>
      <c r="E6" s="128" t="s">
        <v>75</v>
      </c>
      <c r="F6" s="128"/>
      <c r="G6" s="128"/>
      <c r="H6" s="23" t="s">
        <v>17</v>
      </c>
      <c r="I6" s="13" t="s">
        <v>76</v>
      </c>
      <c r="J6" s="13"/>
      <c r="K6" s="13"/>
      <c r="L6" s="13"/>
    </row>
    <row r="7" spans="1:12" s="20" customFormat="1" ht="20.399999999999999">
      <c r="A7" s="14"/>
      <c r="B7" s="15" t="s">
        <v>0</v>
      </c>
      <c r="C7" s="52">
        <f>COUNTA(B12:B108)</f>
        <v>96</v>
      </c>
      <c r="D7" s="17"/>
      <c r="E7" s="17"/>
      <c r="F7" s="17"/>
      <c r="G7" s="17"/>
      <c r="H7" s="100" t="s">
        <v>4</v>
      </c>
      <c r="I7" s="16">
        <f>COUNTA(B110:B157)</f>
        <v>48</v>
      </c>
      <c r="J7" s="18"/>
      <c r="K7" s="17" t="s">
        <v>2</v>
      </c>
      <c r="L7" s="19" t="s">
        <v>29</v>
      </c>
    </row>
    <row r="8" spans="1:12" s="20" customFormat="1" ht="20.399999999999999">
      <c r="A8" s="17"/>
      <c r="B8" s="15" t="s">
        <v>1</v>
      </c>
      <c r="C8" s="52">
        <f>COUNTIF(B12:B108,"*Spare*")</f>
        <v>15</v>
      </c>
      <c r="D8" s="21">
        <f>(C8*100)/C9</f>
        <v>18.518518518518519</v>
      </c>
      <c r="E8" s="17" t="s">
        <v>2</v>
      </c>
      <c r="F8" s="17"/>
      <c r="G8" s="17"/>
      <c r="H8" s="100" t="s">
        <v>5</v>
      </c>
      <c r="I8" s="16">
        <f>COUNTIF(B110:B157,"*Spare*")</f>
        <v>5</v>
      </c>
      <c r="J8" s="21">
        <f>(I8*100)/I9</f>
        <v>11.627906976744185</v>
      </c>
      <c r="K8" s="17" t="s">
        <v>2</v>
      </c>
      <c r="L8" s="83">
        <v>35</v>
      </c>
    </row>
    <row r="9" spans="1:12" s="20" customFormat="1" ht="20.399999999999999">
      <c r="A9" s="17"/>
      <c r="B9" s="15" t="s">
        <v>3</v>
      </c>
      <c r="C9" s="53">
        <f>C7-C8</f>
        <v>81</v>
      </c>
      <c r="D9" s="18"/>
      <c r="E9" s="17"/>
      <c r="F9" s="17"/>
      <c r="G9" s="17"/>
      <c r="H9" s="100" t="s">
        <v>6</v>
      </c>
      <c r="I9" s="22">
        <f>I7-I8</f>
        <v>43</v>
      </c>
      <c r="J9" s="18"/>
      <c r="K9" s="17" t="s">
        <v>2</v>
      </c>
      <c r="L9" s="17"/>
    </row>
    <row r="10" spans="1:12" s="20" customFormat="1" ht="17.399999999999999">
      <c r="A10" s="131" t="s">
        <v>7</v>
      </c>
      <c r="B10" s="131"/>
      <c r="C10" s="131"/>
      <c r="D10" s="131"/>
      <c r="E10" s="131"/>
      <c r="F10" s="131"/>
      <c r="G10" s="131"/>
      <c r="H10" s="131"/>
      <c r="I10" s="131"/>
      <c r="J10" s="131"/>
      <c r="K10" s="131"/>
      <c r="L10" s="131"/>
    </row>
    <row r="11" spans="1:12" s="5" customFormat="1" ht="48" customHeight="1">
      <c r="A11" s="92" t="s">
        <v>19</v>
      </c>
      <c r="B11" s="91" t="s">
        <v>158</v>
      </c>
      <c r="C11" s="91" t="s">
        <v>30</v>
      </c>
      <c r="D11" s="92" t="s">
        <v>21</v>
      </c>
      <c r="E11" s="92" t="s">
        <v>22</v>
      </c>
      <c r="F11" s="92" t="s">
        <v>347</v>
      </c>
      <c r="G11" s="87"/>
      <c r="H11" s="87" t="s">
        <v>27</v>
      </c>
      <c r="I11" s="87" t="s">
        <v>23</v>
      </c>
      <c r="J11" s="87" t="s">
        <v>24</v>
      </c>
      <c r="K11" s="92" t="s">
        <v>25</v>
      </c>
      <c r="L11" s="92" t="s">
        <v>26</v>
      </c>
    </row>
    <row r="12" spans="1:12" s="29" customFormat="1" ht="18" customHeight="1">
      <c r="A12" s="44">
        <v>1</v>
      </c>
      <c r="B12" s="49" t="s">
        <v>668</v>
      </c>
      <c r="C12" s="67" t="s">
        <v>669</v>
      </c>
      <c r="D12" s="27" t="s">
        <v>83</v>
      </c>
      <c r="E12" s="27" t="s">
        <v>83</v>
      </c>
      <c r="F12" s="143"/>
      <c r="G12" s="142" t="s">
        <v>258</v>
      </c>
      <c r="H12" s="90"/>
      <c r="I12" s="96" t="s">
        <v>670</v>
      </c>
      <c r="J12" s="96">
        <v>772105</v>
      </c>
      <c r="K12" s="96" t="s">
        <v>502</v>
      </c>
      <c r="L12" s="97" t="s">
        <v>538</v>
      </c>
    </row>
    <row r="13" spans="1:12" s="29" customFormat="1" ht="18" customHeight="1">
      <c r="A13" s="44">
        <v>2</v>
      </c>
      <c r="B13" s="49" t="s">
        <v>162</v>
      </c>
      <c r="C13" s="67" t="s">
        <v>328</v>
      </c>
      <c r="D13" s="27" t="s">
        <v>84</v>
      </c>
      <c r="E13" s="27" t="s">
        <v>84</v>
      </c>
      <c r="F13" s="138"/>
      <c r="G13" s="142"/>
      <c r="H13" s="90"/>
      <c r="I13" s="28" t="s">
        <v>415</v>
      </c>
      <c r="J13" s="49" t="s">
        <v>561</v>
      </c>
      <c r="K13" s="49" t="s">
        <v>542</v>
      </c>
      <c r="L13" s="49" t="s">
        <v>364</v>
      </c>
    </row>
    <row r="14" spans="1:12" s="29" customFormat="1" ht="18" customHeight="1">
      <c r="A14" s="44">
        <v>3</v>
      </c>
      <c r="B14" s="49" t="s">
        <v>674</v>
      </c>
      <c r="C14" s="67" t="s">
        <v>675</v>
      </c>
      <c r="D14" s="27" t="s">
        <v>85</v>
      </c>
      <c r="E14" s="27" t="s">
        <v>85</v>
      </c>
      <c r="F14" s="138"/>
      <c r="G14" s="142"/>
      <c r="H14" s="90"/>
      <c r="I14" s="98" t="s">
        <v>670</v>
      </c>
      <c r="J14" s="98">
        <v>772105</v>
      </c>
      <c r="K14" s="96" t="s">
        <v>502</v>
      </c>
      <c r="L14" s="97" t="s">
        <v>538</v>
      </c>
    </row>
    <row r="15" spans="1:12" s="29" customFormat="1" ht="18" customHeight="1">
      <c r="A15" s="44">
        <v>4</v>
      </c>
      <c r="B15" s="49" t="s">
        <v>163</v>
      </c>
      <c r="C15" s="67" t="s">
        <v>330</v>
      </c>
      <c r="D15" s="27" t="s">
        <v>86</v>
      </c>
      <c r="E15" s="27" t="s">
        <v>86</v>
      </c>
      <c r="F15" s="138"/>
      <c r="G15" s="142"/>
      <c r="H15" s="90"/>
      <c r="I15" s="49" t="s">
        <v>348</v>
      </c>
      <c r="J15" s="49" t="s">
        <v>351</v>
      </c>
      <c r="K15" s="116" t="s">
        <v>354</v>
      </c>
      <c r="L15" s="109" t="s">
        <v>357</v>
      </c>
    </row>
    <row r="16" spans="1:12" s="29" customFormat="1" ht="18" customHeight="1">
      <c r="A16" s="44">
        <v>5</v>
      </c>
      <c r="B16" s="66" t="s">
        <v>340</v>
      </c>
      <c r="C16" s="67" t="s">
        <v>341</v>
      </c>
      <c r="D16" s="27" t="s">
        <v>87</v>
      </c>
      <c r="E16" s="27" t="s">
        <v>87</v>
      </c>
      <c r="F16" s="138"/>
      <c r="G16" s="142"/>
      <c r="H16" s="90"/>
      <c r="I16" s="49" t="s">
        <v>349</v>
      </c>
      <c r="J16" s="49" t="s">
        <v>353</v>
      </c>
      <c r="K16" s="117"/>
      <c r="L16" s="109"/>
    </row>
    <row r="17" spans="1:12" s="29" customFormat="1" ht="18" customHeight="1">
      <c r="A17" s="44">
        <v>6</v>
      </c>
      <c r="B17" s="66" t="s">
        <v>164</v>
      </c>
      <c r="C17" s="67" t="s">
        <v>331</v>
      </c>
      <c r="D17" s="27" t="s">
        <v>88</v>
      </c>
      <c r="E17" s="27" t="s">
        <v>88</v>
      </c>
      <c r="F17" s="138"/>
      <c r="G17" s="142"/>
      <c r="H17" s="90"/>
      <c r="I17" s="49" t="s">
        <v>350</v>
      </c>
      <c r="J17" s="49" t="s">
        <v>352</v>
      </c>
      <c r="K17" s="117"/>
      <c r="L17" s="109"/>
    </row>
    <row r="18" spans="1:12" s="29" customFormat="1" ht="18" customHeight="1">
      <c r="A18" s="44">
        <v>7</v>
      </c>
      <c r="B18" s="49" t="s">
        <v>166</v>
      </c>
      <c r="C18" s="67" t="s">
        <v>332</v>
      </c>
      <c r="D18" s="27" t="s">
        <v>89</v>
      </c>
      <c r="E18" s="27" t="s">
        <v>89</v>
      </c>
      <c r="F18" s="138"/>
      <c r="G18" s="142"/>
      <c r="H18" s="90"/>
      <c r="I18" s="35" t="s">
        <v>355</v>
      </c>
      <c r="J18" s="49" t="s">
        <v>356</v>
      </c>
      <c r="K18" s="117"/>
      <c r="L18" s="109"/>
    </row>
    <row r="19" spans="1:12" s="29" customFormat="1" ht="18" customHeight="1">
      <c r="A19" s="44">
        <v>8</v>
      </c>
      <c r="B19" s="66" t="s">
        <v>167</v>
      </c>
      <c r="C19" s="67" t="s">
        <v>333</v>
      </c>
      <c r="D19" s="27" t="s">
        <v>90</v>
      </c>
      <c r="E19" s="27" t="s">
        <v>90</v>
      </c>
      <c r="F19" s="138"/>
      <c r="G19" s="142"/>
      <c r="H19" s="90"/>
      <c r="I19" s="35" t="s">
        <v>355</v>
      </c>
      <c r="J19" s="49" t="s">
        <v>356</v>
      </c>
      <c r="K19" s="118"/>
      <c r="L19" s="110"/>
    </row>
    <row r="20" spans="1:12" s="29" customFormat="1" ht="18" customHeight="1">
      <c r="A20" s="44">
        <v>9</v>
      </c>
      <c r="B20" s="49" t="s">
        <v>165</v>
      </c>
      <c r="C20" s="67" t="s">
        <v>329</v>
      </c>
      <c r="D20" s="27" t="s">
        <v>91</v>
      </c>
      <c r="E20" s="27" t="s">
        <v>91</v>
      </c>
      <c r="F20" s="138"/>
      <c r="G20" s="142"/>
      <c r="H20" s="90"/>
      <c r="I20" s="49" t="s">
        <v>358</v>
      </c>
      <c r="J20" s="49" t="s">
        <v>359</v>
      </c>
      <c r="K20" s="49" t="s">
        <v>360</v>
      </c>
      <c r="L20" s="49" t="s">
        <v>539</v>
      </c>
    </row>
    <row r="21" spans="1:12" s="29" customFormat="1" ht="18">
      <c r="A21" s="44">
        <v>10</v>
      </c>
      <c r="B21" s="49" t="s">
        <v>168</v>
      </c>
      <c r="C21" s="67" t="s">
        <v>616</v>
      </c>
      <c r="D21" s="27" t="s">
        <v>92</v>
      </c>
      <c r="E21" s="27" t="s">
        <v>92</v>
      </c>
      <c r="F21" s="138"/>
      <c r="G21" s="142"/>
      <c r="H21" s="90"/>
      <c r="I21" s="35" t="s">
        <v>361</v>
      </c>
      <c r="J21" s="49" t="s">
        <v>362</v>
      </c>
      <c r="K21" s="49" t="s">
        <v>363</v>
      </c>
      <c r="L21" s="49" t="s">
        <v>364</v>
      </c>
    </row>
    <row r="22" spans="1:12" s="29" customFormat="1" ht="18">
      <c r="A22" s="44">
        <v>11</v>
      </c>
      <c r="B22" s="49" t="s">
        <v>169</v>
      </c>
      <c r="C22" s="67" t="s">
        <v>369</v>
      </c>
      <c r="D22" s="27" t="s">
        <v>77</v>
      </c>
      <c r="E22" s="27" t="s">
        <v>77</v>
      </c>
      <c r="F22" s="138"/>
      <c r="G22" s="142"/>
      <c r="H22" s="90"/>
      <c r="I22" s="35" t="s">
        <v>361</v>
      </c>
      <c r="J22" s="49" t="s">
        <v>362</v>
      </c>
      <c r="K22" s="49" t="s">
        <v>363</v>
      </c>
      <c r="L22" s="49" t="s">
        <v>364</v>
      </c>
    </row>
    <row r="23" spans="1:12" s="29" customFormat="1" ht="18" customHeight="1">
      <c r="A23" s="44">
        <v>12</v>
      </c>
      <c r="B23" s="49" t="s">
        <v>170</v>
      </c>
      <c r="C23" s="67" t="s">
        <v>334</v>
      </c>
      <c r="D23" s="27" t="s">
        <v>78</v>
      </c>
      <c r="E23" s="27" t="s">
        <v>78</v>
      </c>
      <c r="F23" s="138"/>
      <c r="G23" s="142"/>
      <c r="H23" s="90"/>
      <c r="I23" s="49" t="s">
        <v>365</v>
      </c>
      <c r="J23" s="49" t="s">
        <v>560</v>
      </c>
      <c r="K23" s="49" t="s">
        <v>542</v>
      </c>
      <c r="L23" s="49" t="s">
        <v>364</v>
      </c>
    </row>
    <row r="24" spans="1:12" s="29" customFormat="1" ht="18" customHeight="1">
      <c r="A24" s="44">
        <v>13</v>
      </c>
      <c r="B24" s="49" t="s">
        <v>171</v>
      </c>
      <c r="C24" s="67" t="s">
        <v>335</v>
      </c>
      <c r="D24" s="27" t="s">
        <v>79</v>
      </c>
      <c r="E24" s="27" t="s">
        <v>79</v>
      </c>
      <c r="F24" s="138"/>
      <c r="G24" s="142"/>
      <c r="H24" s="90"/>
      <c r="I24" s="49" t="s">
        <v>365</v>
      </c>
      <c r="J24" s="49" t="s">
        <v>560</v>
      </c>
      <c r="K24" s="49" t="s">
        <v>542</v>
      </c>
      <c r="L24" s="49" t="s">
        <v>364</v>
      </c>
    </row>
    <row r="25" spans="1:12" s="32" customFormat="1" ht="18" customHeight="1">
      <c r="A25" s="44">
        <v>14</v>
      </c>
      <c r="B25" s="49" t="s">
        <v>292</v>
      </c>
      <c r="C25" s="67" t="s">
        <v>342</v>
      </c>
      <c r="D25" s="27" t="s">
        <v>80</v>
      </c>
      <c r="E25" s="27" t="s">
        <v>80</v>
      </c>
      <c r="F25" s="138"/>
      <c r="G25" s="142"/>
      <c r="H25" s="90"/>
      <c r="I25" s="51" t="s">
        <v>366</v>
      </c>
      <c r="J25" s="49" t="s">
        <v>604</v>
      </c>
      <c r="K25" s="49" t="s">
        <v>367</v>
      </c>
      <c r="L25" s="49" t="s">
        <v>605</v>
      </c>
    </row>
    <row r="26" spans="1:12" s="29" customFormat="1" ht="18" customHeight="1">
      <c r="A26" s="44">
        <v>15</v>
      </c>
      <c r="B26" s="49" t="s">
        <v>172</v>
      </c>
      <c r="C26" s="68" t="s">
        <v>343</v>
      </c>
      <c r="D26" s="27" t="s">
        <v>81</v>
      </c>
      <c r="E26" s="27" t="s">
        <v>81</v>
      </c>
      <c r="F26" s="138"/>
      <c r="G26" s="142"/>
      <c r="H26" s="90"/>
      <c r="I26" s="49" t="s">
        <v>365</v>
      </c>
      <c r="J26" s="49" t="s">
        <v>560</v>
      </c>
      <c r="K26" s="49" t="s">
        <v>542</v>
      </c>
      <c r="L26" s="49" t="s">
        <v>364</v>
      </c>
    </row>
    <row r="27" spans="1:12" s="29" customFormat="1" ht="18" customHeight="1">
      <c r="A27" s="44">
        <v>16</v>
      </c>
      <c r="B27" s="49" t="s">
        <v>173</v>
      </c>
      <c r="C27" s="67" t="s">
        <v>344</v>
      </c>
      <c r="D27" s="27" t="s">
        <v>82</v>
      </c>
      <c r="E27" s="27" t="s">
        <v>82</v>
      </c>
      <c r="F27" s="144"/>
      <c r="G27" s="142"/>
      <c r="H27" s="90"/>
      <c r="I27" s="49" t="s">
        <v>365</v>
      </c>
      <c r="J27" s="49" t="s">
        <v>560</v>
      </c>
      <c r="K27" s="49" t="s">
        <v>542</v>
      </c>
      <c r="L27" s="49" t="s">
        <v>364</v>
      </c>
    </row>
    <row r="28" spans="1:12" s="29" customFormat="1" ht="18" customHeight="1">
      <c r="A28" s="44">
        <v>17</v>
      </c>
      <c r="B28" s="49" t="s">
        <v>174</v>
      </c>
      <c r="C28" s="67" t="s">
        <v>345</v>
      </c>
      <c r="D28" s="30" t="s">
        <v>94</v>
      </c>
      <c r="E28" s="30" t="s">
        <v>94</v>
      </c>
      <c r="F28" s="139"/>
      <c r="G28" s="142" t="s">
        <v>258</v>
      </c>
      <c r="H28" s="90"/>
      <c r="I28" s="49" t="s">
        <v>365</v>
      </c>
      <c r="J28" s="49" t="s">
        <v>560</v>
      </c>
      <c r="K28" s="49" t="s">
        <v>542</v>
      </c>
      <c r="L28" s="49" t="s">
        <v>364</v>
      </c>
    </row>
    <row r="29" spans="1:12" s="29" customFormat="1" ht="18" customHeight="1">
      <c r="A29" s="44">
        <v>18</v>
      </c>
      <c r="B29" s="49" t="s">
        <v>175</v>
      </c>
      <c r="C29" s="67" t="s">
        <v>346</v>
      </c>
      <c r="D29" s="30" t="s">
        <v>93</v>
      </c>
      <c r="E29" s="30" t="s">
        <v>93</v>
      </c>
      <c r="F29" s="140"/>
      <c r="G29" s="142"/>
      <c r="H29" s="90"/>
      <c r="I29" s="49" t="s">
        <v>365</v>
      </c>
      <c r="J29" s="49" t="s">
        <v>560</v>
      </c>
      <c r="K29" s="49" t="s">
        <v>542</v>
      </c>
      <c r="L29" s="49" t="s">
        <v>364</v>
      </c>
    </row>
    <row r="30" spans="1:12" s="29" customFormat="1" ht="18" customHeight="1">
      <c r="A30" s="44">
        <v>19</v>
      </c>
      <c r="B30" s="56" t="s">
        <v>612</v>
      </c>
      <c r="C30" s="67" t="s">
        <v>613</v>
      </c>
      <c r="D30" s="30" t="s">
        <v>95</v>
      </c>
      <c r="E30" s="30" t="s">
        <v>95</v>
      </c>
      <c r="F30" s="140"/>
      <c r="G30" s="142"/>
      <c r="H30" s="90"/>
      <c r="I30" s="35" t="s">
        <v>361</v>
      </c>
      <c r="J30" s="49" t="s">
        <v>362</v>
      </c>
      <c r="K30" s="49" t="s">
        <v>363</v>
      </c>
      <c r="L30" s="49" t="s">
        <v>364</v>
      </c>
    </row>
    <row r="31" spans="1:12" s="29" customFormat="1" ht="18" customHeight="1">
      <c r="A31" s="44">
        <v>20</v>
      </c>
      <c r="B31" s="56" t="s">
        <v>176</v>
      </c>
      <c r="C31" s="67" t="s">
        <v>370</v>
      </c>
      <c r="D31" s="30" t="s">
        <v>96</v>
      </c>
      <c r="E31" s="30" t="s">
        <v>96</v>
      </c>
      <c r="F31" s="140"/>
      <c r="G31" s="142"/>
      <c r="H31" s="90"/>
      <c r="I31" s="35" t="s">
        <v>361</v>
      </c>
      <c r="J31" s="49" t="s">
        <v>362</v>
      </c>
      <c r="K31" s="49" t="s">
        <v>363</v>
      </c>
      <c r="L31" s="49" t="s">
        <v>364</v>
      </c>
    </row>
    <row r="32" spans="1:12" s="29" customFormat="1" ht="18" customHeight="1">
      <c r="A32" s="44">
        <v>21</v>
      </c>
      <c r="B32" s="56" t="s">
        <v>177</v>
      </c>
      <c r="C32" s="67" t="s">
        <v>377</v>
      </c>
      <c r="D32" s="30" t="s">
        <v>97</v>
      </c>
      <c r="E32" s="30" t="s">
        <v>97</v>
      </c>
      <c r="F32" s="140"/>
      <c r="G32" s="142"/>
      <c r="H32" s="90"/>
      <c r="I32" s="49" t="s">
        <v>365</v>
      </c>
      <c r="J32" s="49" t="s">
        <v>560</v>
      </c>
      <c r="K32" s="49" t="s">
        <v>542</v>
      </c>
      <c r="L32" s="49" t="s">
        <v>364</v>
      </c>
    </row>
    <row r="33" spans="1:12" s="29" customFormat="1" ht="18" customHeight="1">
      <c r="A33" s="44">
        <v>22</v>
      </c>
      <c r="B33" s="56" t="s">
        <v>178</v>
      </c>
      <c r="C33" s="67" t="s">
        <v>378</v>
      </c>
      <c r="D33" s="30" t="s">
        <v>98</v>
      </c>
      <c r="E33" s="30" t="s">
        <v>98</v>
      </c>
      <c r="F33" s="140"/>
      <c r="G33" s="142"/>
      <c r="H33" s="90"/>
      <c r="I33" s="49" t="s">
        <v>365</v>
      </c>
      <c r="J33" s="49" t="s">
        <v>560</v>
      </c>
      <c r="K33" s="49" t="s">
        <v>542</v>
      </c>
      <c r="L33" s="49" t="s">
        <v>364</v>
      </c>
    </row>
    <row r="34" spans="1:12" s="29" customFormat="1" ht="18" customHeight="1">
      <c r="A34" s="44">
        <v>23</v>
      </c>
      <c r="B34" s="56" t="s">
        <v>179</v>
      </c>
      <c r="C34" s="67" t="s">
        <v>371</v>
      </c>
      <c r="D34" s="30" t="s">
        <v>99</v>
      </c>
      <c r="E34" s="30" t="s">
        <v>99</v>
      </c>
      <c r="F34" s="140"/>
      <c r="G34" s="142"/>
      <c r="H34" s="90"/>
      <c r="I34" s="49" t="s">
        <v>365</v>
      </c>
      <c r="J34" s="49" t="s">
        <v>560</v>
      </c>
      <c r="K34" s="49" t="s">
        <v>542</v>
      </c>
      <c r="L34" s="49" t="s">
        <v>364</v>
      </c>
    </row>
    <row r="35" spans="1:12" s="29" customFormat="1" ht="18" customHeight="1">
      <c r="A35" s="44">
        <v>24</v>
      </c>
      <c r="B35" s="56" t="s">
        <v>180</v>
      </c>
      <c r="C35" s="67" t="s">
        <v>372</v>
      </c>
      <c r="D35" s="30" t="s">
        <v>100</v>
      </c>
      <c r="E35" s="30" t="s">
        <v>100</v>
      </c>
      <c r="F35" s="140"/>
      <c r="G35" s="142"/>
      <c r="H35" s="90"/>
      <c r="I35" s="49" t="s">
        <v>365</v>
      </c>
      <c r="J35" s="49" t="s">
        <v>560</v>
      </c>
      <c r="K35" s="49" t="s">
        <v>542</v>
      </c>
      <c r="L35" s="49" t="s">
        <v>364</v>
      </c>
    </row>
    <row r="36" spans="1:12" s="29" customFormat="1" ht="18" customHeight="1">
      <c r="A36" s="44">
        <v>25</v>
      </c>
      <c r="B36" s="56" t="s">
        <v>181</v>
      </c>
      <c r="C36" s="67" t="s">
        <v>606</v>
      </c>
      <c r="D36" s="30" t="s">
        <v>101</v>
      </c>
      <c r="E36" s="30" t="s">
        <v>101</v>
      </c>
      <c r="F36" s="140"/>
      <c r="G36" s="142"/>
      <c r="H36" s="90"/>
      <c r="I36" s="49" t="s">
        <v>365</v>
      </c>
      <c r="J36" s="49" t="s">
        <v>560</v>
      </c>
      <c r="K36" s="49" t="s">
        <v>542</v>
      </c>
      <c r="L36" s="49" t="s">
        <v>364</v>
      </c>
    </row>
    <row r="37" spans="1:12" s="29" customFormat="1" ht="18" customHeight="1">
      <c r="A37" s="44">
        <v>26</v>
      </c>
      <c r="B37" s="56" t="s">
        <v>182</v>
      </c>
      <c r="C37" s="67" t="s">
        <v>607</v>
      </c>
      <c r="D37" s="30" t="s">
        <v>102</v>
      </c>
      <c r="E37" s="30" t="s">
        <v>102</v>
      </c>
      <c r="F37" s="140"/>
      <c r="G37" s="142"/>
      <c r="H37" s="90"/>
      <c r="I37" s="49" t="s">
        <v>365</v>
      </c>
      <c r="J37" s="49" t="s">
        <v>560</v>
      </c>
      <c r="K37" s="49" t="s">
        <v>542</v>
      </c>
      <c r="L37" s="49" t="s">
        <v>364</v>
      </c>
    </row>
    <row r="38" spans="1:12" s="29" customFormat="1" ht="18" customHeight="1">
      <c r="A38" s="44">
        <v>27</v>
      </c>
      <c r="B38" s="56" t="s">
        <v>183</v>
      </c>
      <c r="C38" s="67" t="s">
        <v>373</v>
      </c>
      <c r="D38" s="30" t="s">
        <v>103</v>
      </c>
      <c r="E38" s="30" t="s">
        <v>103</v>
      </c>
      <c r="F38" s="140"/>
      <c r="G38" s="142"/>
      <c r="H38" s="90"/>
      <c r="I38" s="49" t="s">
        <v>365</v>
      </c>
      <c r="J38" s="49" t="s">
        <v>560</v>
      </c>
      <c r="K38" s="49" t="s">
        <v>542</v>
      </c>
      <c r="L38" s="49" t="s">
        <v>364</v>
      </c>
    </row>
    <row r="39" spans="1:12" s="29" customFormat="1" ht="18" customHeight="1">
      <c r="A39" s="44">
        <v>28</v>
      </c>
      <c r="B39" s="56" t="s">
        <v>184</v>
      </c>
      <c r="C39" s="67" t="s">
        <v>374</v>
      </c>
      <c r="D39" s="30" t="s">
        <v>104</v>
      </c>
      <c r="E39" s="30" t="s">
        <v>104</v>
      </c>
      <c r="F39" s="140"/>
      <c r="G39" s="142"/>
      <c r="H39" s="90"/>
      <c r="I39" s="49" t="s">
        <v>365</v>
      </c>
      <c r="J39" s="49" t="s">
        <v>560</v>
      </c>
      <c r="K39" s="49" t="s">
        <v>542</v>
      </c>
      <c r="L39" s="49" t="s">
        <v>364</v>
      </c>
    </row>
    <row r="40" spans="1:12" s="29" customFormat="1" ht="18" customHeight="1">
      <c r="A40" s="44">
        <v>29</v>
      </c>
      <c r="B40" s="56" t="s">
        <v>185</v>
      </c>
      <c r="C40" s="67" t="s">
        <v>375</v>
      </c>
      <c r="D40" s="30" t="s">
        <v>105</v>
      </c>
      <c r="E40" s="30" t="s">
        <v>105</v>
      </c>
      <c r="F40" s="140"/>
      <c r="G40" s="142"/>
      <c r="H40" s="90"/>
      <c r="I40" s="49" t="s">
        <v>365</v>
      </c>
      <c r="J40" s="49" t="s">
        <v>560</v>
      </c>
      <c r="K40" s="49" t="s">
        <v>542</v>
      </c>
      <c r="L40" s="49" t="s">
        <v>364</v>
      </c>
    </row>
    <row r="41" spans="1:12" s="29" customFormat="1" ht="18" customHeight="1">
      <c r="A41" s="44">
        <v>30</v>
      </c>
      <c r="B41" s="56" t="s">
        <v>186</v>
      </c>
      <c r="C41" s="67" t="s">
        <v>376</v>
      </c>
      <c r="D41" s="30" t="s">
        <v>106</v>
      </c>
      <c r="E41" s="30" t="s">
        <v>106</v>
      </c>
      <c r="F41" s="140"/>
      <c r="G41" s="142"/>
      <c r="H41" s="90"/>
      <c r="I41" s="49" t="s">
        <v>365</v>
      </c>
      <c r="J41" s="49" t="s">
        <v>560</v>
      </c>
      <c r="K41" s="49" t="s">
        <v>542</v>
      </c>
      <c r="L41" s="49" t="s">
        <v>364</v>
      </c>
    </row>
    <row r="42" spans="1:12" s="32" customFormat="1" ht="18" customHeight="1">
      <c r="A42" s="44">
        <v>31</v>
      </c>
      <c r="B42" s="56" t="s">
        <v>291</v>
      </c>
      <c r="C42" s="67" t="s">
        <v>391</v>
      </c>
      <c r="D42" s="30" t="s">
        <v>107</v>
      </c>
      <c r="E42" s="30" t="s">
        <v>107</v>
      </c>
      <c r="F42" s="140"/>
      <c r="G42" s="142"/>
      <c r="H42" s="90"/>
      <c r="I42" s="51" t="s">
        <v>366</v>
      </c>
      <c r="J42" s="49" t="s">
        <v>604</v>
      </c>
      <c r="K42" s="49" t="s">
        <v>367</v>
      </c>
      <c r="L42" s="49" t="s">
        <v>605</v>
      </c>
    </row>
    <row r="43" spans="1:12" s="29" customFormat="1" ht="18" customHeight="1">
      <c r="A43" s="44">
        <v>32</v>
      </c>
      <c r="B43" s="69" t="s">
        <v>159</v>
      </c>
      <c r="C43" s="56" t="s">
        <v>159</v>
      </c>
      <c r="D43" s="30" t="s">
        <v>108</v>
      </c>
      <c r="E43" s="30" t="s">
        <v>108</v>
      </c>
      <c r="F43" s="141"/>
      <c r="G43" s="142"/>
      <c r="H43" s="90"/>
      <c r="I43" s="49"/>
      <c r="J43" s="49"/>
      <c r="K43" s="49"/>
      <c r="L43" s="49"/>
    </row>
    <row r="44" spans="1:12" s="29" customFormat="1" ht="18" customHeight="1">
      <c r="A44" s="44">
        <v>33</v>
      </c>
      <c r="B44" s="56" t="s">
        <v>187</v>
      </c>
      <c r="C44" s="67" t="s">
        <v>379</v>
      </c>
      <c r="D44" s="27" t="s">
        <v>124</v>
      </c>
      <c r="E44" s="27" t="s">
        <v>124</v>
      </c>
      <c r="F44" s="58"/>
      <c r="G44" s="134" t="s">
        <v>258</v>
      </c>
      <c r="H44" s="90"/>
      <c r="I44" s="35" t="s">
        <v>361</v>
      </c>
      <c r="J44" s="49" t="s">
        <v>362</v>
      </c>
      <c r="K44" s="49" t="s">
        <v>363</v>
      </c>
      <c r="L44" s="49" t="s">
        <v>364</v>
      </c>
    </row>
    <row r="45" spans="1:12" s="29" customFormat="1" ht="18" customHeight="1">
      <c r="A45" s="44">
        <v>34</v>
      </c>
      <c r="B45" s="56" t="s">
        <v>188</v>
      </c>
      <c r="C45" s="67" t="s">
        <v>380</v>
      </c>
      <c r="D45" s="27" t="s">
        <v>109</v>
      </c>
      <c r="E45" s="27" t="s">
        <v>109</v>
      </c>
      <c r="F45" s="58"/>
      <c r="G45" s="134"/>
      <c r="H45" s="90"/>
      <c r="I45" s="35" t="s">
        <v>361</v>
      </c>
      <c r="J45" s="49" t="s">
        <v>362</v>
      </c>
      <c r="K45" s="49" t="s">
        <v>363</v>
      </c>
      <c r="L45" s="49" t="s">
        <v>364</v>
      </c>
    </row>
    <row r="46" spans="1:12" s="29" customFormat="1" ht="18" customHeight="1">
      <c r="A46" s="44">
        <v>35</v>
      </c>
      <c r="B46" s="56" t="s">
        <v>189</v>
      </c>
      <c r="C46" s="67" t="s">
        <v>381</v>
      </c>
      <c r="D46" s="27" t="s">
        <v>110</v>
      </c>
      <c r="E46" s="27" t="s">
        <v>110</v>
      </c>
      <c r="F46" s="58"/>
      <c r="G46" s="134"/>
      <c r="H46" s="90"/>
      <c r="I46" s="49" t="s">
        <v>365</v>
      </c>
      <c r="J46" s="49" t="s">
        <v>560</v>
      </c>
      <c r="K46" s="49" t="s">
        <v>542</v>
      </c>
      <c r="L46" s="49" t="s">
        <v>364</v>
      </c>
    </row>
    <row r="47" spans="1:12" s="29" customFormat="1" ht="18" customHeight="1">
      <c r="A47" s="44">
        <v>36</v>
      </c>
      <c r="B47" s="56" t="s">
        <v>190</v>
      </c>
      <c r="C47" s="67" t="s">
        <v>382</v>
      </c>
      <c r="D47" s="27" t="s">
        <v>111</v>
      </c>
      <c r="E47" s="27" t="s">
        <v>111</v>
      </c>
      <c r="F47" s="58"/>
      <c r="G47" s="134"/>
      <c r="H47" s="90"/>
      <c r="I47" s="49" t="s">
        <v>365</v>
      </c>
      <c r="J47" s="49" t="s">
        <v>560</v>
      </c>
      <c r="K47" s="49" t="s">
        <v>542</v>
      </c>
      <c r="L47" s="49" t="s">
        <v>364</v>
      </c>
    </row>
    <row r="48" spans="1:12" s="29" customFormat="1" ht="18" customHeight="1">
      <c r="A48" s="44">
        <v>37</v>
      </c>
      <c r="B48" s="56" t="s">
        <v>191</v>
      </c>
      <c r="C48" s="67" t="s">
        <v>383</v>
      </c>
      <c r="D48" s="27" t="s">
        <v>112</v>
      </c>
      <c r="E48" s="27" t="s">
        <v>112</v>
      </c>
      <c r="F48" s="58"/>
      <c r="G48" s="134"/>
      <c r="H48" s="90"/>
      <c r="I48" s="49" t="s">
        <v>365</v>
      </c>
      <c r="J48" s="49" t="s">
        <v>560</v>
      </c>
      <c r="K48" s="49" t="s">
        <v>542</v>
      </c>
      <c r="L48" s="49" t="s">
        <v>364</v>
      </c>
    </row>
    <row r="49" spans="1:12" s="29" customFormat="1" ht="18" customHeight="1">
      <c r="A49" s="44">
        <v>38</v>
      </c>
      <c r="B49" s="56" t="s">
        <v>192</v>
      </c>
      <c r="C49" s="67" t="s">
        <v>384</v>
      </c>
      <c r="D49" s="27" t="s">
        <v>113</v>
      </c>
      <c r="E49" s="27" t="s">
        <v>113</v>
      </c>
      <c r="F49" s="58"/>
      <c r="G49" s="134"/>
      <c r="H49" s="90"/>
      <c r="I49" s="49" t="s">
        <v>365</v>
      </c>
      <c r="J49" s="49" t="s">
        <v>560</v>
      </c>
      <c r="K49" s="49" t="s">
        <v>542</v>
      </c>
      <c r="L49" s="49" t="s">
        <v>364</v>
      </c>
    </row>
    <row r="50" spans="1:12" s="29" customFormat="1" ht="18" customHeight="1">
      <c r="A50" s="44">
        <v>39</v>
      </c>
      <c r="B50" s="56" t="s">
        <v>193</v>
      </c>
      <c r="C50" s="67" t="s">
        <v>385</v>
      </c>
      <c r="D50" s="27" t="s">
        <v>114</v>
      </c>
      <c r="E50" s="27" t="s">
        <v>114</v>
      </c>
      <c r="F50" s="58"/>
      <c r="G50" s="134"/>
      <c r="H50" s="90"/>
      <c r="I50" s="49" t="s">
        <v>365</v>
      </c>
      <c r="J50" s="49" t="s">
        <v>560</v>
      </c>
      <c r="K50" s="49" t="s">
        <v>542</v>
      </c>
      <c r="L50" s="49" t="s">
        <v>364</v>
      </c>
    </row>
    <row r="51" spans="1:12" s="29" customFormat="1" ht="18" customHeight="1">
      <c r="A51" s="44">
        <v>40</v>
      </c>
      <c r="B51" s="56" t="s">
        <v>194</v>
      </c>
      <c r="C51" s="67" t="s">
        <v>386</v>
      </c>
      <c r="D51" s="27" t="s">
        <v>115</v>
      </c>
      <c r="E51" s="27" t="s">
        <v>115</v>
      </c>
      <c r="F51" s="58"/>
      <c r="G51" s="134"/>
      <c r="H51" s="90"/>
      <c r="I51" s="49" t="s">
        <v>365</v>
      </c>
      <c r="J51" s="49" t="s">
        <v>560</v>
      </c>
      <c r="K51" s="49" t="s">
        <v>542</v>
      </c>
      <c r="L51" s="49" t="s">
        <v>364</v>
      </c>
    </row>
    <row r="52" spans="1:12" s="29" customFormat="1" ht="18" customHeight="1">
      <c r="A52" s="44">
        <v>41</v>
      </c>
      <c r="B52" s="56" t="s">
        <v>196</v>
      </c>
      <c r="C52" s="67" t="s">
        <v>387</v>
      </c>
      <c r="D52" s="27" t="s">
        <v>116</v>
      </c>
      <c r="E52" s="27" t="s">
        <v>116</v>
      </c>
      <c r="F52" s="58"/>
      <c r="G52" s="134"/>
      <c r="H52" s="90"/>
      <c r="I52" s="49" t="s">
        <v>365</v>
      </c>
      <c r="J52" s="49" t="s">
        <v>560</v>
      </c>
      <c r="K52" s="49" t="s">
        <v>542</v>
      </c>
      <c r="L52" s="49" t="s">
        <v>364</v>
      </c>
    </row>
    <row r="53" spans="1:12" s="29" customFormat="1" ht="18" customHeight="1">
      <c r="A53" s="44">
        <v>42</v>
      </c>
      <c r="B53" s="56" t="s">
        <v>197</v>
      </c>
      <c r="C53" s="67" t="s">
        <v>388</v>
      </c>
      <c r="D53" s="27" t="s">
        <v>117</v>
      </c>
      <c r="E53" s="27" t="s">
        <v>117</v>
      </c>
      <c r="F53" s="58"/>
      <c r="G53" s="134"/>
      <c r="H53" s="90"/>
      <c r="I53" s="49" t="s">
        <v>365</v>
      </c>
      <c r="J53" s="49" t="s">
        <v>560</v>
      </c>
      <c r="K53" s="49" t="s">
        <v>542</v>
      </c>
      <c r="L53" s="49" t="s">
        <v>364</v>
      </c>
    </row>
    <row r="54" spans="1:12" s="29" customFormat="1" ht="18" customHeight="1">
      <c r="A54" s="44">
        <v>43</v>
      </c>
      <c r="B54" s="70" t="s">
        <v>198</v>
      </c>
      <c r="C54" s="67" t="s">
        <v>389</v>
      </c>
      <c r="D54" s="27" t="s">
        <v>118</v>
      </c>
      <c r="E54" s="27" t="s">
        <v>118</v>
      </c>
      <c r="F54" s="58"/>
      <c r="G54" s="134"/>
      <c r="H54" s="90"/>
      <c r="I54" s="49" t="s">
        <v>365</v>
      </c>
      <c r="J54" s="49" t="s">
        <v>560</v>
      </c>
      <c r="K54" s="49" t="s">
        <v>542</v>
      </c>
      <c r="L54" s="49" t="s">
        <v>364</v>
      </c>
    </row>
    <row r="55" spans="1:12" s="29" customFormat="1" ht="18" customHeight="1">
      <c r="A55" s="44">
        <v>44</v>
      </c>
      <c r="B55" s="70" t="s">
        <v>199</v>
      </c>
      <c r="C55" s="67" t="s">
        <v>390</v>
      </c>
      <c r="D55" s="27" t="s">
        <v>119</v>
      </c>
      <c r="E55" s="27" t="s">
        <v>119</v>
      </c>
      <c r="F55" s="58"/>
      <c r="G55" s="134"/>
      <c r="H55" s="90"/>
      <c r="I55" s="49" t="s">
        <v>365</v>
      </c>
      <c r="J55" s="49" t="s">
        <v>560</v>
      </c>
      <c r="K55" s="49" t="s">
        <v>542</v>
      </c>
      <c r="L55" s="49" t="s">
        <v>364</v>
      </c>
    </row>
    <row r="56" spans="1:12" s="29" customFormat="1" ht="18" customHeight="1">
      <c r="A56" s="44">
        <v>45</v>
      </c>
      <c r="B56" s="70" t="s">
        <v>195</v>
      </c>
      <c r="C56" s="67" t="s">
        <v>614</v>
      </c>
      <c r="D56" s="27" t="s">
        <v>120</v>
      </c>
      <c r="E56" s="27" t="s">
        <v>120</v>
      </c>
      <c r="F56" s="58"/>
      <c r="G56" s="134"/>
      <c r="H56" s="90"/>
      <c r="I56" s="35" t="s">
        <v>361</v>
      </c>
      <c r="J56" s="49" t="s">
        <v>362</v>
      </c>
      <c r="K56" s="49" t="s">
        <v>363</v>
      </c>
      <c r="L56" s="49" t="s">
        <v>364</v>
      </c>
    </row>
    <row r="57" spans="1:12" s="32" customFormat="1" ht="18" customHeight="1">
      <c r="A57" s="44">
        <v>46</v>
      </c>
      <c r="B57" s="70" t="s">
        <v>293</v>
      </c>
      <c r="C57" s="67" t="s">
        <v>392</v>
      </c>
      <c r="D57" s="27" t="s">
        <v>121</v>
      </c>
      <c r="E57" s="27" t="s">
        <v>121</v>
      </c>
      <c r="F57" s="58"/>
      <c r="G57" s="134"/>
      <c r="H57" s="38"/>
      <c r="I57" s="38"/>
      <c r="J57" s="38"/>
      <c r="K57" s="38"/>
      <c r="L57" s="38"/>
    </row>
    <row r="58" spans="1:12" s="29" customFormat="1" ht="18" customHeight="1">
      <c r="A58" s="44">
        <v>47</v>
      </c>
      <c r="B58" s="69" t="s">
        <v>159</v>
      </c>
      <c r="C58" s="35" t="s">
        <v>159</v>
      </c>
      <c r="D58" s="27" t="s">
        <v>122</v>
      </c>
      <c r="E58" s="27" t="s">
        <v>122</v>
      </c>
      <c r="F58" s="58"/>
      <c r="G58" s="134"/>
      <c r="H58" s="90"/>
      <c r="I58" s="49"/>
      <c r="J58" s="49"/>
      <c r="K58" s="49"/>
      <c r="L58" s="49"/>
    </row>
    <row r="59" spans="1:12" s="29" customFormat="1" ht="18" customHeight="1">
      <c r="A59" s="44">
        <v>48</v>
      </c>
      <c r="B59" s="71" t="s">
        <v>159</v>
      </c>
      <c r="C59" s="49" t="s">
        <v>159</v>
      </c>
      <c r="D59" s="27" t="s">
        <v>123</v>
      </c>
      <c r="E59" s="27" t="s">
        <v>123</v>
      </c>
      <c r="F59" s="59"/>
      <c r="G59" s="135"/>
      <c r="H59" s="90"/>
      <c r="I59" s="49"/>
      <c r="J59" s="49"/>
      <c r="K59" s="49"/>
      <c r="L59" s="49"/>
    </row>
    <row r="60" spans="1:12" s="29" customFormat="1" ht="18" customHeight="1">
      <c r="A60" s="44">
        <v>49</v>
      </c>
      <c r="B60" s="49" t="s">
        <v>200</v>
      </c>
      <c r="C60" s="49" t="s">
        <v>393</v>
      </c>
      <c r="D60" s="30" t="s">
        <v>125</v>
      </c>
      <c r="E60" s="30" t="s">
        <v>125</v>
      </c>
      <c r="F60" s="139"/>
      <c r="G60" s="133" t="s">
        <v>161</v>
      </c>
      <c r="H60" s="90"/>
      <c r="I60" s="49" t="s">
        <v>409</v>
      </c>
      <c r="J60" s="49" t="s">
        <v>410</v>
      </c>
      <c r="K60" s="49" t="s">
        <v>363</v>
      </c>
      <c r="L60" s="49" t="s">
        <v>364</v>
      </c>
    </row>
    <row r="61" spans="1:12" s="29" customFormat="1" ht="18" customHeight="1">
      <c r="A61" s="44">
        <v>50</v>
      </c>
      <c r="B61" s="49" t="s">
        <v>202</v>
      </c>
      <c r="C61" s="49" t="s">
        <v>395</v>
      </c>
      <c r="D61" s="30" t="s">
        <v>126</v>
      </c>
      <c r="E61" s="30" t="s">
        <v>126</v>
      </c>
      <c r="F61" s="140"/>
      <c r="G61" s="134"/>
      <c r="H61" s="90"/>
      <c r="I61" s="49" t="s">
        <v>365</v>
      </c>
      <c r="J61" s="49" t="s">
        <v>560</v>
      </c>
      <c r="K61" s="49" t="s">
        <v>542</v>
      </c>
      <c r="L61" s="49" t="s">
        <v>364</v>
      </c>
    </row>
    <row r="62" spans="1:12" s="29" customFormat="1" ht="18" customHeight="1">
      <c r="A62" s="44">
        <v>51</v>
      </c>
      <c r="B62" s="49" t="s">
        <v>203</v>
      </c>
      <c r="C62" s="49" t="s">
        <v>597</v>
      </c>
      <c r="D62" s="30" t="s">
        <v>127</v>
      </c>
      <c r="E62" s="30" t="s">
        <v>127</v>
      </c>
      <c r="F62" s="140"/>
      <c r="G62" s="134"/>
      <c r="H62" s="90"/>
      <c r="I62" s="49" t="s">
        <v>365</v>
      </c>
      <c r="J62" s="49" t="s">
        <v>560</v>
      </c>
      <c r="K62" s="49" t="s">
        <v>542</v>
      </c>
      <c r="L62" s="49" t="s">
        <v>364</v>
      </c>
    </row>
    <row r="63" spans="1:12" s="29" customFormat="1" ht="18" customHeight="1">
      <c r="A63" s="44">
        <v>52</v>
      </c>
      <c r="B63" s="49" t="s">
        <v>206</v>
      </c>
      <c r="C63" s="49" t="s">
        <v>397</v>
      </c>
      <c r="D63" s="30" t="s">
        <v>128</v>
      </c>
      <c r="E63" s="30" t="s">
        <v>128</v>
      </c>
      <c r="F63" s="140"/>
      <c r="G63" s="134"/>
      <c r="H63" s="90"/>
      <c r="I63" s="49" t="s">
        <v>411</v>
      </c>
      <c r="J63" s="49" t="s">
        <v>413</v>
      </c>
      <c r="K63" s="49" t="s">
        <v>412</v>
      </c>
      <c r="L63" s="49" t="s">
        <v>364</v>
      </c>
    </row>
    <row r="64" spans="1:12" s="29" customFormat="1" ht="18" customHeight="1">
      <c r="A64" s="44">
        <v>53</v>
      </c>
      <c r="B64" s="49" t="s">
        <v>207</v>
      </c>
      <c r="C64" s="49" t="s">
        <v>398</v>
      </c>
      <c r="D64" s="30" t="s">
        <v>129</v>
      </c>
      <c r="E64" s="30" t="s">
        <v>129</v>
      </c>
      <c r="F64" s="140"/>
      <c r="G64" s="134"/>
      <c r="H64" s="90"/>
      <c r="I64" s="49" t="s">
        <v>411</v>
      </c>
      <c r="J64" s="49" t="s">
        <v>413</v>
      </c>
      <c r="K64" s="49" t="s">
        <v>412</v>
      </c>
      <c r="L64" s="49" t="s">
        <v>364</v>
      </c>
    </row>
    <row r="65" spans="1:12" s="29" customFormat="1" ht="18" customHeight="1">
      <c r="A65" s="44">
        <v>54</v>
      </c>
      <c r="B65" s="49" t="s">
        <v>407</v>
      </c>
      <c r="C65" s="71" t="s">
        <v>401</v>
      </c>
      <c r="D65" s="30" t="s">
        <v>130</v>
      </c>
      <c r="E65" s="30" t="s">
        <v>130</v>
      </c>
      <c r="F65" s="140"/>
      <c r="G65" s="134"/>
      <c r="H65" s="90"/>
      <c r="I65" s="49" t="s">
        <v>411</v>
      </c>
      <c r="J65" s="49" t="s">
        <v>414</v>
      </c>
      <c r="K65" s="49" t="s">
        <v>412</v>
      </c>
      <c r="L65" s="49" t="s">
        <v>364</v>
      </c>
    </row>
    <row r="66" spans="1:12" s="29" customFormat="1" ht="18" customHeight="1">
      <c r="A66" s="44">
        <v>55</v>
      </c>
      <c r="B66" s="72" t="s">
        <v>201</v>
      </c>
      <c r="C66" s="71" t="s">
        <v>394</v>
      </c>
      <c r="D66" s="30" t="s">
        <v>131</v>
      </c>
      <c r="E66" s="30" t="s">
        <v>131</v>
      </c>
      <c r="F66" s="140"/>
      <c r="G66" s="134"/>
      <c r="H66" s="90"/>
      <c r="I66" s="49" t="s">
        <v>409</v>
      </c>
      <c r="J66" s="49" t="s">
        <v>410</v>
      </c>
      <c r="K66" s="49" t="s">
        <v>363</v>
      </c>
      <c r="L66" s="49" t="s">
        <v>364</v>
      </c>
    </row>
    <row r="67" spans="1:12" s="29" customFormat="1" ht="18" customHeight="1">
      <c r="A67" s="44">
        <v>56</v>
      </c>
      <c r="B67" s="72" t="s">
        <v>204</v>
      </c>
      <c r="C67" s="71" t="s">
        <v>396</v>
      </c>
      <c r="D67" s="30" t="s">
        <v>132</v>
      </c>
      <c r="E67" s="30" t="s">
        <v>132</v>
      </c>
      <c r="F67" s="140"/>
      <c r="G67" s="134"/>
      <c r="H67" s="90"/>
      <c r="I67" s="49" t="s">
        <v>365</v>
      </c>
      <c r="J67" s="49" t="s">
        <v>560</v>
      </c>
      <c r="K67" s="49" t="s">
        <v>542</v>
      </c>
      <c r="L67" s="49" t="s">
        <v>364</v>
      </c>
    </row>
    <row r="68" spans="1:12" s="29" customFormat="1" ht="18" customHeight="1">
      <c r="A68" s="44">
        <v>57</v>
      </c>
      <c r="B68" s="49" t="s">
        <v>205</v>
      </c>
      <c r="C68" s="71" t="s">
        <v>598</v>
      </c>
      <c r="D68" s="30" t="s">
        <v>133</v>
      </c>
      <c r="E68" s="30" t="s">
        <v>133</v>
      </c>
      <c r="F68" s="140"/>
      <c r="G68" s="134"/>
      <c r="H68" s="90"/>
      <c r="I68" s="49" t="s">
        <v>365</v>
      </c>
      <c r="J68" s="49" t="s">
        <v>560</v>
      </c>
      <c r="K68" s="49" t="s">
        <v>542</v>
      </c>
      <c r="L68" s="49" t="s">
        <v>364</v>
      </c>
    </row>
    <row r="69" spans="1:12" s="29" customFormat="1" ht="18" customHeight="1">
      <c r="A69" s="44">
        <v>58</v>
      </c>
      <c r="B69" s="49" t="s">
        <v>208</v>
      </c>
      <c r="C69" s="71" t="s">
        <v>399</v>
      </c>
      <c r="D69" s="30" t="s">
        <v>134</v>
      </c>
      <c r="E69" s="30" t="s">
        <v>134</v>
      </c>
      <c r="F69" s="140"/>
      <c r="G69" s="134"/>
      <c r="H69" s="90"/>
      <c r="I69" s="49" t="s">
        <v>411</v>
      </c>
      <c r="J69" s="49" t="s">
        <v>413</v>
      </c>
      <c r="K69" s="49" t="s">
        <v>412</v>
      </c>
      <c r="L69" s="49" t="s">
        <v>364</v>
      </c>
    </row>
    <row r="70" spans="1:12" s="29" customFormat="1" ht="18" customHeight="1">
      <c r="A70" s="44">
        <v>59</v>
      </c>
      <c r="B70" s="49" t="s">
        <v>209</v>
      </c>
      <c r="C70" s="71" t="s">
        <v>400</v>
      </c>
      <c r="D70" s="30" t="s">
        <v>135</v>
      </c>
      <c r="E70" s="30" t="s">
        <v>135</v>
      </c>
      <c r="F70" s="140"/>
      <c r="G70" s="134"/>
      <c r="H70" s="90"/>
      <c r="I70" s="49" t="s">
        <v>411</v>
      </c>
      <c r="J70" s="49" t="s">
        <v>413</v>
      </c>
      <c r="K70" s="49" t="s">
        <v>412</v>
      </c>
      <c r="L70" s="49" t="s">
        <v>364</v>
      </c>
    </row>
    <row r="71" spans="1:12" s="29" customFormat="1" ht="18" customHeight="1">
      <c r="A71" s="44">
        <v>60</v>
      </c>
      <c r="B71" s="49" t="s">
        <v>408</v>
      </c>
      <c r="C71" s="71" t="s">
        <v>402</v>
      </c>
      <c r="D71" s="30" t="s">
        <v>136</v>
      </c>
      <c r="E71" s="30" t="s">
        <v>136</v>
      </c>
      <c r="F71" s="140"/>
      <c r="G71" s="134"/>
      <c r="H71" s="90"/>
      <c r="I71" s="49" t="s">
        <v>411</v>
      </c>
      <c r="J71" s="49" t="s">
        <v>414</v>
      </c>
      <c r="K71" s="49" t="s">
        <v>412</v>
      </c>
      <c r="L71" s="49" t="s">
        <v>364</v>
      </c>
    </row>
    <row r="72" spans="1:12" s="29" customFormat="1" ht="18" customHeight="1">
      <c r="A72" s="44">
        <v>61</v>
      </c>
      <c r="B72" s="49" t="s">
        <v>210</v>
      </c>
      <c r="C72" s="71" t="s">
        <v>403</v>
      </c>
      <c r="D72" s="30" t="s">
        <v>137</v>
      </c>
      <c r="E72" s="30" t="s">
        <v>137</v>
      </c>
      <c r="F72" s="140"/>
      <c r="G72" s="134"/>
      <c r="H72" s="90"/>
      <c r="I72" s="49" t="s">
        <v>415</v>
      </c>
      <c r="J72" s="49" t="s">
        <v>561</v>
      </c>
      <c r="K72" s="49" t="s">
        <v>542</v>
      </c>
      <c r="L72" s="49" t="s">
        <v>364</v>
      </c>
    </row>
    <row r="73" spans="1:12" s="29" customFormat="1" ht="18" customHeight="1">
      <c r="A73" s="44">
        <v>62</v>
      </c>
      <c r="B73" s="49" t="s">
        <v>211</v>
      </c>
      <c r="C73" s="71" t="s">
        <v>404</v>
      </c>
      <c r="D73" s="30" t="s">
        <v>138</v>
      </c>
      <c r="E73" s="30" t="s">
        <v>138</v>
      </c>
      <c r="F73" s="140"/>
      <c r="G73" s="134"/>
      <c r="H73" s="90"/>
      <c r="I73" s="49" t="s">
        <v>365</v>
      </c>
      <c r="J73" s="49" t="s">
        <v>560</v>
      </c>
      <c r="K73" s="49" t="s">
        <v>542</v>
      </c>
      <c r="L73" s="49" t="s">
        <v>364</v>
      </c>
    </row>
    <row r="74" spans="1:12" s="29" customFormat="1" ht="18" customHeight="1">
      <c r="A74" s="44">
        <v>63</v>
      </c>
      <c r="B74" s="49" t="s">
        <v>212</v>
      </c>
      <c r="C74" s="71" t="s">
        <v>405</v>
      </c>
      <c r="D74" s="30" t="s">
        <v>139</v>
      </c>
      <c r="E74" s="30" t="s">
        <v>139</v>
      </c>
      <c r="F74" s="140"/>
      <c r="G74" s="134"/>
      <c r="H74" s="90"/>
      <c r="I74" s="49" t="s">
        <v>365</v>
      </c>
      <c r="J74" s="49" t="s">
        <v>560</v>
      </c>
      <c r="K74" s="49" t="s">
        <v>542</v>
      </c>
      <c r="L74" s="49" t="s">
        <v>364</v>
      </c>
    </row>
    <row r="75" spans="1:12" s="29" customFormat="1" ht="18" customHeight="1">
      <c r="A75" s="44">
        <v>64</v>
      </c>
      <c r="B75" s="49" t="s">
        <v>213</v>
      </c>
      <c r="C75" s="71" t="s">
        <v>406</v>
      </c>
      <c r="D75" s="30" t="s">
        <v>140</v>
      </c>
      <c r="E75" s="30" t="s">
        <v>140</v>
      </c>
      <c r="F75" s="141"/>
      <c r="G75" s="135"/>
      <c r="H75" s="90"/>
      <c r="I75" s="49" t="s">
        <v>415</v>
      </c>
      <c r="J75" s="49" t="s">
        <v>561</v>
      </c>
      <c r="K75" s="49" t="s">
        <v>542</v>
      </c>
      <c r="L75" s="49" t="s">
        <v>364</v>
      </c>
    </row>
    <row r="76" spans="1:12" s="29" customFormat="1" ht="18" customHeight="1">
      <c r="A76" s="44">
        <v>65</v>
      </c>
      <c r="B76" s="49" t="s">
        <v>230</v>
      </c>
      <c r="C76" s="71" t="s">
        <v>416</v>
      </c>
      <c r="D76" s="27" t="s">
        <v>214</v>
      </c>
      <c r="E76" s="27" t="s">
        <v>214</v>
      </c>
      <c r="F76" s="143"/>
      <c r="G76" s="133" t="s">
        <v>161</v>
      </c>
      <c r="H76" s="90"/>
      <c r="I76" s="49" t="s">
        <v>409</v>
      </c>
      <c r="J76" s="49" t="s">
        <v>410</v>
      </c>
      <c r="K76" s="49" t="s">
        <v>363</v>
      </c>
      <c r="L76" s="49" t="s">
        <v>364</v>
      </c>
    </row>
    <row r="77" spans="1:12" s="29" customFormat="1" ht="18" customHeight="1">
      <c r="A77" s="44">
        <v>66</v>
      </c>
      <c r="B77" s="49" t="s">
        <v>231</v>
      </c>
      <c r="C77" s="71" t="s">
        <v>417</v>
      </c>
      <c r="D77" s="27" t="s">
        <v>215</v>
      </c>
      <c r="E77" s="27" t="s">
        <v>215</v>
      </c>
      <c r="F77" s="138"/>
      <c r="G77" s="134"/>
      <c r="H77" s="90"/>
      <c r="I77" s="49" t="s">
        <v>365</v>
      </c>
      <c r="J77" s="49" t="s">
        <v>560</v>
      </c>
      <c r="K77" s="49" t="s">
        <v>542</v>
      </c>
      <c r="L77" s="49" t="s">
        <v>364</v>
      </c>
    </row>
    <row r="78" spans="1:12" s="29" customFormat="1" ht="18" customHeight="1">
      <c r="A78" s="44">
        <v>67</v>
      </c>
      <c r="B78" s="49" t="s">
        <v>232</v>
      </c>
      <c r="C78" s="71" t="s">
        <v>418</v>
      </c>
      <c r="D78" s="27" t="s">
        <v>216</v>
      </c>
      <c r="E78" s="27" t="s">
        <v>216</v>
      </c>
      <c r="F78" s="138"/>
      <c r="G78" s="134"/>
      <c r="H78" s="90"/>
      <c r="I78" s="49" t="s">
        <v>365</v>
      </c>
      <c r="J78" s="49" t="s">
        <v>560</v>
      </c>
      <c r="K78" s="49" t="s">
        <v>542</v>
      </c>
      <c r="L78" s="49" t="s">
        <v>364</v>
      </c>
    </row>
    <row r="79" spans="1:12" s="29" customFormat="1" ht="18" customHeight="1">
      <c r="A79" s="44">
        <v>68</v>
      </c>
      <c r="B79" s="94" t="s">
        <v>691</v>
      </c>
      <c r="C79" s="94" t="s">
        <v>690</v>
      </c>
      <c r="D79" s="27" t="s">
        <v>217</v>
      </c>
      <c r="E79" s="27" t="s">
        <v>217</v>
      </c>
      <c r="F79" s="138"/>
      <c r="G79" s="134"/>
      <c r="H79" s="90"/>
      <c r="I79" s="49" t="s">
        <v>415</v>
      </c>
      <c r="J79" s="49" t="s">
        <v>561</v>
      </c>
      <c r="K79" s="49" t="s">
        <v>542</v>
      </c>
      <c r="L79" s="49" t="s">
        <v>364</v>
      </c>
    </row>
    <row r="80" spans="1:12" s="29" customFormat="1" ht="18" customHeight="1">
      <c r="A80" s="44">
        <v>69</v>
      </c>
      <c r="B80" s="49" t="s">
        <v>279</v>
      </c>
      <c r="C80" s="71" t="s">
        <v>420</v>
      </c>
      <c r="D80" s="27" t="s">
        <v>218</v>
      </c>
      <c r="E80" s="27" t="s">
        <v>218</v>
      </c>
      <c r="F80" s="138"/>
      <c r="G80" s="134"/>
      <c r="H80" s="90"/>
      <c r="I80" s="116" t="s">
        <v>439</v>
      </c>
      <c r="J80" s="116" t="s">
        <v>438</v>
      </c>
      <c r="K80" s="116" t="s">
        <v>437</v>
      </c>
      <c r="L80" s="116" t="s">
        <v>440</v>
      </c>
    </row>
    <row r="81" spans="1:12" s="29" customFormat="1" ht="18" customHeight="1">
      <c r="A81" s="44">
        <v>70</v>
      </c>
      <c r="B81" s="49" t="s">
        <v>280</v>
      </c>
      <c r="C81" s="71" t="s">
        <v>421</v>
      </c>
      <c r="D81" s="27" t="s">
        <v>219</v>
      </c>
      <c r="E81" s="27" t="s">
        <v>219</v>
      </c>
      <c r="F81" s="138"/>
      <c r="G81" s="134"/>
      <c r="H81" s="90"/>
      <c r="I81" s="117"/>
      <c r="J81" s="117"/>
      <c r="K81" s="117"/>
      <c r="L81" s="117"/>
    </row>
    <row r="82" spans="1:12" s="29" customFormat="1" ht="18" customHeight="1">
      <c r="A82" s="44">
        <v>71</v>
      </c>
      <c r="B82" s="49" t="s">
        <v>281</v>
      </c>
      <c r="C82" s="71" t="s">
        <v>422</v>
      </c>
      <c r="D82" s="27" t="s">
        <v>220</v>
      </c>
      <c r="E82" s="27" t="s">
        <v>220</v>
      </c>
      <c r="F82" s="138"/>
      <c r="G82" s="134"/>
      <c r="H82" s="90"/>
      <c r="I82" s="117"/>
      <c r="J82" s="117"/>
      <c r="K82" s="117"/>
      <c r="L82" s="117"/>
    </row>
    <row r="83" spans="1:12" s="29" customFormat="1" ht="18" customHeight="1">
      <c r="A83" s="44">
        <v>72</v>
      </c>
      <c r="B83" s="49" t="s">
        <v>282</v>
      </c>
      <c r="C83" s="71" t="s">
        <v>423</v>
      </c>
      <c r="D83" s="27" t="s">
        <v>221</v>
      </c>
      <c r="E83" s="27" t="s">
        <v>221</v>
      </c>
      <c r="F83" s="138"/>
      <c r="G83" s="134"/>
      <c r="H83" s="90"/>
      <c r="I83" s="117"/>
      <c r="J83" s="117"/>
      <c r="K83" s="117"/>
      <c r="L83" s="117"/>
    </row>
    <row r="84" spans="1:12" s="29" customFormat="1" ht="18" customHeight="1">
      <c r="A84" s="44">
        <v>73</v>
      </c>
      <c r="B84" s="49" t="s">
        <v>283</v>
      </c>
      <c r="C84" s="71" t="s">
        <v>424</v>
      </c>
      <c r="D84" s="27" t="s">
        <v>222</v>
      </c>
      <c r="E84" s="27" t="s">
        <v>222</v>
      </c>
      <c r="F84" s="138"/>
      <c r="G84" s="134"/>
      <c r="H84" s="90"/>
      <c r="I84" s="117"/>
      <c r="J84" s="117"/>
      <c r="K84" s="117"/>
      <c r="L84" s="117"/>
    </row>
    <row r="85" spans="1:12" s="29" customFormat="1" ht="18" customHeight="1">
      <c r="A85" s="44">
        <v>74</v>
      </c>
      <c r="B85" s="49" t="s">
        <v>284</v>
      </c>
      <c r="C85" s="71" t="s">
        <v>425</v>
      </c>
      <c r="D85" s="27" t="s">
        <v>223</v>
      </c>
      <c r="E85" s="27" t="s">
        <v>223</v>
      </c>
      <c r="F85" s="138"/>
      <c r="G85" s="134"/>
      <c r="H85" s="90"/>
      <c r="I85" s="117"/>
      <c r="J85" s="117"/>
      <c r="K85" s="117"/>
      <c r="L85" s="117"/>
    </row>
    <row r="86" spans="1:12" s="29" customFormat="1" ht="18" customHeight="1">
      <c r="A86" s="44">
        <v>75</v>
      </c>
      <c r="B86" s="49" t="s">
        <v>285</v>
      </c>
      <c r="C86" s="71" t="s">
        <v>426</v>
      </c>
      <c r="D86" s="27" t="s">
        <v>224</v>
      </c>
      <c r="E86" s="27" t="s">
        <v>224</v>
      </c>
      <c r="F86" s="138"/>
      <c r="G86" s="134"/>
      <c r="H86" s="90"/>
      <c r="I86" s="117"/>
      <c r="J86" s="117"/>
      <c r="K86" s="117"/>
      <c r="L86" s="117"/>
    </row>
    <row r="87" spans="1:12" s="29" customFormat="1" ht="18" customHeight="1">
      <c r="A87" s="44">
        <v>76</v>
      </c>
      <c r="B87" s="49" t="s">
        <v>286</v>
      </c>
      <c r="C87" s="71" t="s">
        <v>427</v>
      </c>
      <c r="D87" s="27" t="s">
        <v>225</v>
      </c>
      <c r="E87" s="27" t="s">
        <v>225</v>
      </c>
      <c r="F87" s="138"/>
      <c r="G87" s="134"/>
      <c r="H87" s="90"/>
      <c r="I87" s="117"/>
      <c r="J87" s="117"/>
      <c r="K87" s="117"/>
      <c r="L87" s="117"/>
    </row>
    <row r="88" spans="1:12" s="29" customFormat="1" ht="18" customHeight="1">
      <c r="A88" s="44">
        <v>77</v>
      </c>
      <c r="B88" s="49" t="s">
        <v>287</v>
      </c>
      <c r="C88" s="71" t="s">
        <v>428</v>
      </c>
      <c r="D88" s="27" t="s">
        <v>226</v>
      </c>
      <c r="E88" s="27" t="s">
        <v>226</v>
      </c>
      <c r="F88" s="138"/>
      <c r="G88" s="134"/>
      <c r="H88" s="90"/>
      <c r="I88" s="117"/>
      <c r="J88" s="117"/>
      <c r="K88" s="117"/>
      <c r="L88" s="117"/>
    </row>
    <row r="89" spans="1:12" s="29" customFormat="1" ht="18" customHeight="1">
      <c r="A89" s="44">
        <v>78</v>
      </c>
      <c r="B89" s="49" t="s">
        <v>288</v>
      </c>
      <c r="C89" s="71" t="s">
        <v>429</v>
      </c>
      <c r="D89" s="27" t="s">
        <v>227</v>
      </c>
      <c r="E89" s="27" t="s">
        <v>227</v>
      </c>
      <c r="F89" s="138"/>
      <c r="G89" s="134"/>
      <c r="H89" s="90"/>
      <c r="I89" s="117"/>
      <c r="J89" s="117"/>
      <c r="K89" s="117"/>
      <c r="L89" s="117"/>
    </row>
    <row r="90" spans="1:12" s="29" customFormat="1" ht="18" customHeight="1">
      <c r="A90" s="44">
        <v>79</v>
      </c>
      <c r="B90" s="49" t="s">
        <v>289</v>
      </c>
      <c r="C90" s="71" t="s">
        <v>430</v>
      </c>
      <c r="D90" s="27" t="s">
        <v>228</v>
      </c>
      <c r="E90" s="27" t="s">
        <v>228</v>
      </c>
      <c r="F90" s="138"/>
      <c r="G90" s="134"/>
      <c r="H90" s="90"/>
      <c r="I90" s="117"/>
      <c r="J90" s="117"/>
      <c r="K90" s="117"/>
      <c r="L90" s="117"/>
    </row>
    <row r="91" spans="1:12" s="29" customFormat="1" ht="18" customHeight="1">
      <c r="A91" s="44">
        <v>80</v>
      </c>
      <c r="B91" s="49" t="s">
        <v>290</v>
      </c>
      <c r="C91" s="71" t="s">
        <v>431</v>
      </c>
      <c r="D91" s="27" t="s">
        <v>229</v>
      </c>
      <c r="E91" s="27" t="s">
        <v>229</v>
      </c>
      <c r="F91" s="144"/>
      <c r="G91" s="135"/>
      <c r="H91" s="90"/>
      <c r="I91" s="117"/>
      <c r="J91" s="117"/>
      <c r="K91" s="117"/>
      <c r="L91" s="117"/>
    </row>
    <row r="92" spans="1:12" s="29" customFormat="1" ht="18" customHeight="1">
      <c r="A92" s="44">
        <v>81</v>
      </c>
      <c r="B92" s="49" t="s">
        <v>260</v>
      </c>
      <c r="C92" s="71" t="s">
        <v>432</v>
      </c>
      <c r="D92" s="30" t="s">
        <v>234</v>
      </c>
      <c r="E92" s="30" t="s">
        <v>234</v>
      </c>
      <c r="F92" s="139"/>
      <c r="G92" s="133" t="s">
        <v>161</v>
      </c>
      <c r="H92" s="90"/>
      <c r="I92" s="117"/>
      <c r="J92" s="117"/>
      <c r="K92" s="117"/>
      <c r="L92" s="117"/>
    </row>
    <row r="93" spans="1:12" s="29" customFormat="1" ht="18" customHeight="1">
      <c r="A93" s="44">
        <v>82</v>
      </c>
      <c r="B93" s="49" t="s">
        <v>261</v>
      </c>
      <c r="C93" s="71" t="s">
        <v>433</v>
      </c>
      <c r="D93" s="30" t="s">
        <v>235</v>
      </c>
      <c r="E93" s="30" t="s">
        <v>235</v>
      </c>
      <c r="F93" s="140"/>
      <c r="G93" s="134"/>
      <c r="H93" s="90"/>
      <c r="I93" s="117"/>
      <c r="J93" s="117"/>
      <c r="K93" s="117"/>
      <c r="L93" s="117"/>
    </row>
    <row r="94" spans="1:12" s="29" customFormat="1" ht="18" customHeight="1">
      <c r="A94" s="44">
        <v>83</v>
      </c>
      <c r="B94" s="49" t="s">
        <v>262</v>
      </c>
      <c r="C94" s="71" t="s">
        <v>434</v>
      </c>
      <c r="D94" s="30" t="s">
        <v>236</v>
      </c>
      <c r="E94" s="30" t="s">
        <v>236</v>
      </c>
      <c r="F94" s="140"/>
      <c r="G94" s="134"/>
      <c r="H94" s="90"/>
      <c r="I94" s="117"/>
      <c r="J94" s="117"/>
      <c r="K94" s="117"/>
      <c r="L94" s="117"/>
    </row>
    <row r="95" spans="1:12" s="29" customFormat="1" ht="18" customHeight="1">
      <c r="A95" s="44">
        <v>84</v>
      </c>
      <c r="B95" s="49" t="s">
        <v>435</v>
      </c>
      <c r="C95" s="71" t="s">
        <v>436</v>
      </c>
      <c r="D95" s="30" t="s">
        <v>237</v>
      </c>
      <c r="E95" s="30" t="s">
        <v>237</v>
      </c>
      <c r="F95" s="140"/>
      <c r="G95" s="134"/>
      <c r="H95" s="90"/>
      <c r="I95" s="118"/>
      <c r="J95" s="118"/>
      <c r="K95" s="118"/>
      <c r="L95" s="118"/>
    </row>
    <row r="96" spans="1:12" s="29" customFormat="1" ht="18" customHeight="1">
      <c r="A96" s="44">
        <v>85</v>
      </c>
      <c r="B96" s="49" t="s">
        <v>159</v>
      </c>
      <c r="C96" s="49" t="s">
        <v>159</v>
      </c>
      <c r="D96" s="30" t="s">
        <v>238</v>
      </c>
      <c r="E96" s="30" t="s">
        <v>238</v>
      </c>
      <c r="F96" s="140"/>
      <c r="G96" s="134"/>
      <c r="H96" s="90"/>
      <c r="I96" s="49"/>
      <c r="J96" s="49"/>
      <c r="K96" s="49"/>
      <c r="L96" s="49"/>
    </row>
    <row r="97" spans="1:12" s="29" customFormat="1" ht="18" customHeight="1">
      <c r="A97" s="44">
        <v>86</v>
      </c>
      <c r="B97" s="49" t="s">
        <v>159</v>
      </c>
      <c r="C97" s="49" t="s">
        <v>159</v>
      </c>
      <c r="D97" s="30" t="s">
        <v>239</v>
      </c>
      <c r="E97" s="30" t="s">
        <v>239</v>
      </c>
      <c r="F97" s="140"/>
      <c r="G97" s="134"/>
      <c r="H97" s="90"/>
      <c r="I97" s="49"/>
      <c r="J97" s="49"/>
      <c r="K97" s="49"/>
      <c r="L97" s="49"/>
    </row>
    <row r="98" spans="1:12" s="29" customFormat="1" ht="18" customHeight="1">
      <c r="A98" s="44">
        <v>87</v>
      </c>
      <c r="B98" s="49" t="s">
        <v>159</v>
      </c>
      <c r="C98" s="49" t="s">
        <v>159</v>
      </c>
      <c r="D98" s="30" t="s">
        <v>240</v>
      </c>
      <c r="E98" s="30" t="s">
        <v>240</v>
      </c>
      <c r="F98" s="140"/>
      <c r="G98" s="134"/>
      <c r="H98" s="90"/>
      <c r="I98" s="49"/>
      <c r="J98" s="49"/>
      <c r="K98" s="49"/>
      <c r="L98" s="49"/>
    </row>
    <row r="99" spans="1:12" s="29" customFormat="1" ht="18" customHeight="1">
      <c r="A99" s="44">
        <v>88</v>
      </c>
      <c r="B99" s="49" t="s">
        <v>159</v>
      </c>
      <c r="C99" s="49" t="s">
        <v>159</v>
      </c>
      <c r="D99" s="30" t="s">
        <v>241</v>
      </c>
      <c r="E99" s="30" t="s">
        <v>241</v>
      </c>
      <c r="F99" s="140"/>
      <c r="G99" s="134"/>
      <c r="H99" s="90"/>
      <c r="I99" s="49"/>
      <c r="J99" s="49"/>
      <c r="K99" s="49"/>
      <c r="L99" s="49"/>
    </row>
    <row r="100" spans="1:12" s="29" customFormat="1" ht="18" customHeight="1">
      <c r="A100" s="44">
        <v>89</v>
      </c>
      <c r="B100" s="49" t="s">
        <v>159</v>
      </c>
      <c r="C100" s="49" t="s">
        <v>159</v>
      </c>
      <c r="D100" s="30" t="s">
        <v>242</v>
      </c>
      <c r="E100" s="30" t="s">
        <v>242</v>
      </c>
      <c r="F100" s="140"/>
      <c r="G100" s="134"/>
      <c r="H100" s="90"/>
      <c r="I100" s="49"/>
      <c r="J100" s="49"/>
      <c r="K100" s="49"/>
      <c r="L100" s="49"/>
    </row>
    <row r="101" spans="1:12" s="29" customFormat="1" ht="18" customHeight="1">
      <c r="A101" s="44">
        <v>90</v>
      </c>
      <c r="B101" s="49" t="s">
        <v>159</v>
      </c>
      <c r="C101" s="49" t="s">
        <v>159</v>
      </c>
      <c r="D101" s="30" t="s">
        <v>243</v>
      </c>
      <c r="E101" s="30" t="s">
        <v>243</v>
      </c>
      <c r="F101" s="140"/>
      <c r="G101" s="134"/>
      <c r="H101" s="90"/>
      <c r="I101" s="49"/>
      <c r="J101" s="49"/>
      <c r="K101" s="49"/>
      <c r="L101" s="49"/>
    </row>
    <row r="102" spans="1:12" s="29" customFormat="1" ht="18" customHeight="1">
      <c r="A102" s="44">
        <v>91</v>
      </c>
      <c r="B102" s="49" t="s">
        <v>159</v>
      </c>
      <c r="C102" s="49" t="s">
        <v>159</v>
      </c>
      <c r="D102" s="30" t="s">
        <v>244</v>
      </c>
      <c r="E102" s="30" t="s">
        <v>244</v>
      </c>
      <c r="F102" s="140"/>
      <c r="G102" s="134"/>
      <c r="H102" s="90"/>
      <c r="I102" s="49"/>
      <c r="J102" s="49"/>
      <c r="K102" s="49"/>
      <c r="L102" s="49"/>
    </row>
    <row r="103" spans="1:12" s="29" customFormat="1" ht="18" customHeight="1">
      <c r="A103" s="44">
        <v>92</v>
      </c>
      <c r="B103" s="49" t="s">
        <v>159</v>
      </c>
      <c r="C103" s="49" t="s">
        <v>159</v>
      </c>
      <c r="D103" s="30" t="s">
        <v>245</v>
      </c>
      <c r="E103" s="30" t="s">
        <v>245</v>
      </c>
      <c r="F103" s="140"/>
      <c r="G103" s="134"/>
      <c r="H103" s="90"/>
      <c r="I103" s="49"/>
      <c r="J103" s="49"/>
      <c r="K103" s="49"/>
      <c r="L103" s="49"/>
    </row>
    <row r="104" spans="1:12" s="29" customFormat="1" ht="18" customHeight="1">
      <c r="A104" s="44">
        <v>93</v>
      </c>
      <c r="B104" s="49" t="s">
        <v>159</v>
      </c>
      <c r="C104" s="49" t="s">
        <v>159</v>
      </c>
      <c r="D104" s="30" t="s">
        <v>246</v>
      </c>
      <c r="E104" s="30" t="s">
        <v>246</v>
      </c>
      <c r="F104" s="140"/>
      <c r="G104" s="134"/>
      <c r="H104" s="90"/>
      <c r="I104" s="49"/>
      <c r="J104" s="49"/>
      <c r="K104" s="49"/>
      <c r="L104" s="49"/>
    </row>
    <row r="105" spans="1:12" s="29" customFormat="1" ht="18" customHeight="1">
      <c r="A105" s="44">
        <v>94</v>
      </c>
      <c r="B105" s="49" t="s">
        <v>159</v>
      </c>
      <c r="C105" s="49" t="s">
        <v>159</v>
      </c>
      <c r="D105" s="30" t="s">
        <v>247</v>
      </c>
      <c r="E105" s="30" t="s">
        <v>247</v>
      </c>
      <c r="F105" s="140"/>
      <c r="G105" s="134"/>
      <c r="H105" s="90"/>
      <c r="I105" s="49"/>
      <c r="J105" s="49"/>
      <c r="K105" s="49"/>
      <c r="L105" s="49"/>
    </row>
    <row r="106" spans="1:12" s="29" customFormat="1" ht="18" customHeight="1">
      <c r="A106" s="44">
        <v>95</v>
      </c>
      <c r="B106" s="49" t="s">
        <v>159</v>
      </c>
      <c r="C106" s="49" t="s">
        <v>159</v>
      </c>
      <c r="D106" s="30" t="s">
        <v>248</v>
      </c>
      <c r="E106" s="30" t="s">
        <v>248</v>
      </c>
      <c r="F106" s="140"/>
      <c r="G106" s="134"/>
      <c r="H106" s="90"/>
      <c r="I106" s="49"/>
      <c r="J106" s="49"/>
      <c r="K106" s="49"/>
      <c r="L106" s="49"/>
    </row>
    <row r="107" spans="1:12" s="29" customFormat="1" ht="18" customHeight="1">
      <c r="A107" s="44">
        <v>96</v>
      </c>
      <c r="B107" s="49" t="s">
        <v>159</v>
      </c>
      <c r="C107" s="49" t="s">
        <v>159</v>
      </c>
      <c r="D107" s="30" t="s">
        <v>249</v>
      </c>
      <c r="E107" s="30" t="s">
        <v>249</v>
      </c>
      <c r="F107" s="140"/>
      <c r="G107" s="134"/>
      <c r="H107" s="90"/>
      <c r="I107" s="49"/>
      <c r="J107" s="49"/>
      <c r="K107" s="49"/>
      <c r="L107" s="49"/>
    </row>
    <row r="108" spans="1:12" s="32" customFormat="1" ht="18">
      <c r="A108" s="136" t="s">
        <v>259</v>
      </c>
      <c r="B108" s="137"/>
      <c r="C108" s="137"/>
      <c r="D108" s="137"/>
      <c r="E108" s="137"/>
      <c r="F108" s="137"/>
      <c r="G108" s="137"/>
      <c r="H108" s="137"/>
      <c r="I108" s="137"/>
      <c r="J108" s="137"/>
      <c r="K108" s="137"/>
      <c r="L108" s="137"/>
    </row>
    <row r="109" spans="1:12" s="29" customFormat="1" ht="18.75" customHeight="1">
      <c r="A109" s="23" t="s">
        <v>28</v>
      </c>
      <c r="B109" s="24" t="s">
        <v>20</v>
      </c>
      <c r="C109" s="11" t="s">
        <v>30</v>
      </c>
      <c r="D109" s="25" t="s">
        <v>21</v>
      </c>
      <c r="E109" s="25" t="s">
        <v>22</v>
      </c>
      <c r="F109" s="60"/>
      <c r="G109" s="133" t="s">
        <v>250</v>
      </c>
      <c r="H109" s="89"/>
      <c r="I109" s="24" t="s">
        <v>23</v>
      </c>
      <c r="J109" s="24" t="s">
        <v>24</v>
      </c>
      <c r="K109" s="23" t="s">
        <v>25</v>
      </c>
      <c r="L109" s="23" t="s">
        <v>26</v>
      </c>
    </row>
    <row r="110" spans="1:12" s="32" customFormat="1" ht="18" customHeight="1">
      <c r="A110" s="26">
        <v>1</v>
      </c>
      <c r="B110" s="49" t="s">
        <v>294</v>
      </c>
      <c r="C110" s="49" t="s">
        <v>441</v>
      </c>
      <c r="D110" s="27" t="s">
        <v>141</v>
      </c>
      <c r="E110" s="27" t="s">
        <v>141</v>
      </c>
      <c r="F110" s="138"/>
      <c r="G110" s="134"/>
      <c r="H110" s="90"/>
      <c r="I110" s="119" t="s">
        <v>366</v>
      </c>
      <c r="J110" s="119" t="s">
        <v>604</v>
      </c>
      <c r="K110" s="119" t="s">
        <v>367</v>
      </c>
      <c r="L110" s="116" t="s">
        <v>605</v>
      </c>
    </row>
    <row r="111" spans="1:12" s="32" customFormat="1" ht="18" customHeight="1">
      <c r="A111" s="26">
        <v>2</v>
      </c>
      <c r="B111" s="49" t="s">
        <v>295</v>
      </c>
      <c r="C111" s="49" t="s">
        <v>443</v>
      </c>
      <c r="D111" s="27" t="s">
        <v>142</v>
      </c>
      <c r="E111" s="27" t="s">
        <v>142</v>
      </c>
      <c r="F111" s="138"/>
      <c r="G111" s="134"/>
      <c r="H111" s="90"/>
      <c r="I111" s="120"/>
      <c r="J111" s="120"/>
      <c r="K111" s="120"/>
      <c r="L111" s="117"/>
    </row>
    <row r="112" spans="1:12" s="32" customFormat="1" ht="18" customHeight="1">
      <c r="A112" s="26">
        <v>3</v>
      </c>
      <c r="B112" s="49" t="s">
        <v>296</v>
      </c>
      <c r="C112" s="49" t="s">
        <v>444</v>
      </c>
      <c r="D112" s="27" t="s">
        <v>143</v>
      </c>
      <c r="E112" s="27" t="s">
        <v>143</v>
      </c>
      <c r="F112" s="138"/>
      <c r="G112" s="134"/>
      <c r="H112" s="90"/>
      <c r="I112" s="120"/>
      <c r="J112" s="120"/>
      <c r="K112" s="120"/>
      <c r="L112" s="117"/>
    </row>
    <row r="113" spans="1:12" s="32" customFormat="1" ht="18" customHeight="1">
      <c r="A113" s="26">
        <v>4</v>
      </c>
      <c r="B113" s="49" t="s">
        <v>297</v>
      </c>
      <c r="C113" s="49" t="s">
        <v>442</v>
      </c>
      <c r="D113" s="27" t="s">
        <v>144</v>
      </c>
      <c r="E113" s="27" t="s">
        <v>144</v>
      </c>
      <c r="F113" s="138"/>
      <c r="G113" s="134"/>
      <c r="H113" s="90"/>
      <c r="I113" s="120"/>
      <c r="J113" s="120"/>
      <c r="K113" s="120" t="s">
        <v>367</v>
      </c>
      <c r="L113" s="117" t="s">
        <v>368</v>
      </c>
    </row>
    <row r="114" spans="1:12" s="32" customFormat="1" ht="18" customHeight="1">
      <c r="A114" s="26">
        <v>5</v>
      </c>
      <c r="B114" s="49" t="s">
        <v>298</v>
      </c>
      <c r="C114" s="49" t="s">
        <v>445</v>
      </c>
      <c r="D114" s="27" t="s">
        <v>145</v>
      </c>
      <c r="E114" s="27" t="s">
        <v>145</v>
      </c>
      <c r="F114" s="138"/>
      <c r="G114" s="134"/>
      <c r="H114" s="90"/>
      <c r="I114" s="120"/>
      <c r="J114" s="120"/>
      <c r="K114" s="120"/>
      <c r="L114" s="117"/>
    </row>
    <row r="115" spans="1:12" s="32" customFormat="1" ht="18" customHeight="1">
      <c r="A115" s="26">
        <v>6</v>
      </c>
      <c r="B115" s="49" t="s">
        <v>299</v>
      </c>
      <c r="C115" s="49" t="s">
        <v>446</v>
      </c>
      <c r="D115" s="27" t="s">
        <v>146</v>
      </c>
      <c r="E115" s="27" t="s">
        <v>146</v>
      </c>
      <c r="F115" s="138"/>
      <c r="G115" s="134"/>
      <c r="H115" s="90"/>
      <c r="I115" s="120"/>
      <c r="J115" s="120"/>
      <c r="K115" s="120"/>
      <c r="L115" s="117"/>
    </row>
    <row r="116" spans="1:12" s="32" customFormat="1" ht="18" customHeight="1">
      <c r="A116" s="26">
        <v>7</v>
      </c>
      <c r="B116" s="49" t="s">
        <v>300</v>
      </c>
      <c r="C116" s="49" t="s">
        <v>447</v>
      </c>
      <c r="D116" s="27" t="s">
        <v>147</v>
      </c>
      <c r="E116" s="27" t="s">
        <v>147</v>
      </c>
      <c r="F116" s="138"/>
      <c r="G116" s="134"/>
      <c r="H116" s="90"/>
      <c r="I116" s="120"/>
      <c r="J116" s="120"/>
      <c r="K116" s="120" t="s">
        <v>367</v>
      </c>
      <c r="L116" s="117" t="s">
        <v>368</v>
      </c>
    </row>
    <row r="117" spans="1:12" s="32" customFormat="1" ht="18" customHeight="1">
      <c r="A117" s="26">
        <v>8</v>
      </c>
      <c r="B117" s="49" t="s">
        <v>301</v>
      </c>
      <c r="C117" s="49" t="s">
        <v>448</v>
      </c>
      <c r="D117" s="27" t="s">
        <v>148</v>
      </c>
      <c r="E117" s="27" t="s">
        <v>148</v>
      </c>
      <c r="F117" s="138"/>
      <c r="G117" s="134"/>
      <c r="H117" s="90"/>
      <c r="I117" s="120"/>
      <c r="J117" s="120"/>
      <c r="K117" s="120"/>
      <c r="L117" s="117"/>
    </row>
    <row r="118" spans="1:12" s="32" customFormat="1" ht="18" customHeight="1">
      <c r="A118" s="26">
        <v>9</v>
      </c>
      <c r="B118" s="49" t="s">
        <v>302</v>
      </c>
      <c r="C118" s="49" t="s">
        <v>449</v>
      </c>
      <c r="D118" s="27" t="s">
        <v>149</v>
      </c>
      <c r="E118" s="27" t="s">
        <v>149</v>
      </c>
      <c r="F118" s="138"/>
      <c r="G118" s="134"/>
      <c r="H118" s="90"/>
      <c r="I118" s="121"/>
      <c r="J118" s="121"/>
      <c r="K118" s="121"/>
      <c r="L118" s="118"/>
    </row>
    <row r="119" spans="1:12" s="29" customFormat="1" ht="18" customHeight="1">
      <c r="A119" s="26">
        <v>10</v>
      </c>
      <c r="B119" s="49" t="s">
        <v>251</v>
      </c>
      <c r="C119" s="49" t="s">
        <v>450</v>
      </c>
      <c r="D119" s="27" t="s">
        <v>150</v>
      </c>
      <c r="E119" s="27" t="s">
        <v>150</v>
      </c>
      <c r="F119" s="138"/>
      <c r="G119" s="134"/>
      <c r="H119" s="90"/>
      <c r="I119" s="49" t="s">
        <v>348</v>
      </c>
      <c r="J119" s="49" t="s">
        <v>351</v>
      </c>
      <c r="K119" s="112" t="s">
        <v>354</v>
      </c>
      <c r="L119" s="112" t="s">
        <v>357</v>
      </c>
    </row>
    <row r="120" spans="1:12" s="29" customFormat="1" ht="18" customHeight="1">
      <c r="A120" s="26">
        <v>11</v>
      </c>
      <c r="B120" s="49" t="s">
        <v>479</v>
      </c>
      <c r="C120" s="49" t="s">
        <v>451</v>
      </c>
      <c r="D120" s="27" t="s">
        <v>151</v>
      </c>
      <c r="E120" s="27" t="s">
        <v>151</v>
      </c>
      <c r="F120" s="138"/>
      <c r="G120" s="134"/>
      <c r="H120" s="90"/>
      <c r="I120" s="49" t="s">
        <v>349</v>
      </c>
      <c r="J120" s="51" t="s">
        <v>353</v>
      </c>
      <c r="K120" s="109"/>
      <c r="L120" s="109"/>
    </row>
    <row r="121" spans="1:12" s="29" customFormat="1" ht="18" customHeight="1">
      <c r="A121" s="26">
        <v>12</v>
      </c>
      <c r="B121" s="49" t="s">
        <v>252</v>
      </c>
      <c r="C121" s="49" t="s">
        <v>452</v>
      </c>
      <c r="D121" s="27" t="s">
        <v>152</v>
      </c>
      <c r="E121" s="27" t="s">
        <v>152</v>
      </c>
      <c r="F121" s="138"/>
      <c r="G121" s="134"/>
      <c r="H121" s="90"/>
      <c r="I121" s="49" t="s">
        <v>350</v>
      </c>
      <c r="J121" s="51" t="s">
        <v>352</v>
      </c>
      <c r="K121" s="109"/>
      <c r="L121" s="109"/>
    </row>
    <row r="122" spans="1:12" s="29" customFormat="1" ht="18" customHeight="1">
      <c r="A122" s="26">
        <v>13</v>
      </c>
      <c r="B122" s="49" t="s">
        <v>253</v>
      </c>
      <c r="C122" s="49" t="s">
        <v>453</v>
      </c>
      <c r="D122" s="27" t="s">
        <v>153</v>
      </c>
      <c r="E122" s="27" t="s">
        <v>153</v>
      </c>
      <c r="F122" s="138"/>
      <c r="G122" s="134"/>
      <c r="H122" s="90"/>
      <c r="I122" s="35" t="s">
        <v>355</v>
      </c>
      <c r="J122" s="51" t="s">
        <v>356</v>
      </c>
      <c r="K122" s="109"/>
      <c r="L122" s="109"/>
    </row>
    <row r="123" spans="1:12" s="29" customFormat="1" ht="18" customHeight="1">
      <c r="A123" s="26">
        <v>14</v>
      </c>
      <c r="B123" s="49" t="s">
        <v>254</v>
      </c>
      <c r="C123" s="49" t="s">
        <v>454</v>
      </c>
      <c r="D123" s="27" t="s">
        <v>154</v>
      </c>
      <c r="E123" s="27" t="s">
        <v>154</v>
      </c>
      <c r="F123" s="138"/>
      <c r="G123" s="134"/>
      <c r="H123" s="90"/>
      <c r="I123" s="35" t="s">
        <v>355</v>
      </c>
      <c r="J123" s="51" t="s">
        <v>356</v>
      </c>
      <c r="K123" s="110"/>
      <c r="L123" s="110"/>
    </row>
    <row r="124" spans="1:12" s="29" customFormat="1" ht="18" customHeight="1">
      <c r="A124" s="26">
        <v>15</v>
      </c>
      <c r="B124" s="49" t="s">
        <v>68</v>
      </c>
      <c r="C124" s="49" t="s">
        <v>455</v>
      </c>
      <c r="D124" s="27" t="s">
        <v>155</v>
      </c>
      <c r="E124" s="27" t="s">
        <v>155</v>
      </c>
      <c r="F124" s="138"/>
      <c r="G124" s="134"/>
      <c r="H124" s="90"/>
      <c r="I124" s="113" t="s">
        <v>482</v>
      </c>
      <c r="J124" s="113" t="s">
        <v>483</v>
      </c>
      <c r="K124" s="111" t="s">
        <v>484</v>
      </c>
      <c r="L124" s="113" t="s">
        <v>485</v>
      </c>
    </row>
    <row r="125" spans="1:12" s="29" customFormat="1" ht="18" customHeight="1">
      <c r="A125" s="26">
        <v>16</v>
      </c>
      <c r="B125" s="49" t="s">
        <v>160</v>
      </c>
      <c r="C125" s="49" t="s">
        <v>456</v>
      </c>
      <c r="D125" s="27" t="s">
        <v>156</v>
      </c>
      <c r="E125" s="27" t="s">
        <v>156</v>
      </c>
      <c r="F125" s="138"/>
      <c r="G125" s="134"/>
      <c r="H125" s="90"/>
      <c r="I125" s="114"/>
      <c r="J125" s="114"/>
      <c r="K125" s="111"/>
      <c r="L125" s="114"/>
    </row>
    <row r="126" spans="1:12" s="29" customFormat="1" ht="18" customHeight="1">
      <c r="A126" s="26">
        <v>17</v>
      </c>
      <c r="B126" s="49" t="s">
        <v>65</v>
      </c>
      <c r="C126" s="49" t="s">
        <v>457</v>
      </c>
      <c r="D126" s="30" t="s">
        <v>263</v>
      </c>
      <c r="E126" s="30" t="s">
        <v>263</v>
      </c>
      <c r="F126" s="139"/>
      <c r="G126" s="142" t="s">
        <v>250</v>
      </c>
      <c r="H126" s="90"/>
      <c r="I126" s="114"/>
      <c r="J126" s="114"/>
      <c r="K126" s="111"/>
      <c r="L126" s="114"/>
    </row>
    <row r="127" spans="1:12" s="29" customFormat="1" ht="18" customHeight="1">
      <c r="A127" s="26">
        <v>18</v>
      </c>
      <c r="B127" s="49" t="s">
        <v>70</v>
      </c>
      <c r="C127" s="49" t="s">
        <v>458</v>
      </c>
      <c r="D127" s="30" t="s">
        <v>264</v>
      </c>
      <c r="E127" s="30" t="s">
        <v>264</v>
      </c>
      <c r="F127" s="140"/>
      <c r="G127" s="142"/>
      <c r="H127" s="90"/>
      <c r="I127" s="115"/>
      <c r="J127" s="115"/>
      <c r="K127" s="111"/>
      <c r="L127" s="115"/>
    </row>
    <row r="128" spans="1:12" s="29" customFormat="1" ht="18" customHeight="1">
      <c r="A128" s="26">
        <v>19</v>
      </c>
      <c r="B128" s="49" t="s">
        <v>255</v>
      </c>
      <c r="C128" s="49" t="s">
        <v>459</v>
      </c>
      <c r="D128" s="30" t="s">
        <v>265</v>
      </c>
      <c r="E128" s="30" t="s">
        <v>265</v>
      </c>
      <c r="F128" s="140"/>
      <c r="G128" s="142"/>
      <c r="H128" s="90"/>
      <c r="I128" s="34" t="s">
        <v>486</v>
      </c>
      <c r="J128" s="34" t="s">
        <v>487</v>
      </c>
      <c r="K128" s="34" t="s">
        <v>488</v>
      </c>
      <c r="L128" s="34" t="s">
        <v>489</v>
      </c>
    </row>
    <row r="129" spans="1:12" s="29" customFormat="1" ht="18" customHeight="1">
      <c r="A129" s="26">
        <v>20</v>
      </c>
      <c r="B129" s="49" t="s">
        <v>256</v>
      </c>
      <c r="C129" s="49" t="s">
        <v>460</v>
      </c>
      <c r="D129" s="30" t="s">
        <v>266</v>
      </c>
      <c r="E129" s="30" t="s">
        <v>266</v>
      </c>
      <c r="F129" s="140"/>
      <c r="G129" s="142"/>
      <c r="H129" s="90"/>
      <c r="I129" s="34" t="s">
        <v>490</v>
      </c>
      <c r="J129" s="34" t="s">
        <v>491</v>
      </c>
      <c r="K129" s="34" t="s">
        <v>360</v>
      </c>
      <c r="L129" s="49" t="s">
        <v>539</v>
      </c>
    </row>
    <row r="130" spans="1:12" s="29" customFormat="1" ht="18" customHeight="1">
      <c r="A130" s="26">
        <v>21</v>
      </c>
      <c r="B130" s="49" t="s">
        <v>480</v>
      </c>
      <c r="C130" s="49" t="s">
        <v>481</v>
      </c>
      <c r="D130" s="30" t="s">
        <v>267</v>
      </c>
      <c r="E130" s="30" t="s">
        <v>267</v>
      </c>
      <c r="F130" s="140"/>
      <c r="G130" s="142"/>
      <c r="H130" s="90"/>
      <c r="I130" s="34" t="s">
        <v>493</v>
      </c>
      <c r="J130" s="34" t="s">
        <v>492</v>
      </c>
      <c r="K130" s="34" t="s">
        <v>360</v>
      </c>
      <c r="L130" s="34" t="s">
        <v>538</v>
      </c>
    </row>
    <row r="131" spans="1:12" s="29" customFormat="1" ht="18" customHeight="1">
      <c r="A131" s="26">
        <v>22</v>
      </c>
      <c r="B131" s="49" t="s">
        <v>303</v>
      </c>
      <c r="C131" s="49" t="s">
        <v>461</v>
      </c>
      <c r="D131" s="30" t="s">
        <v>268</v>
      </c>
      <c r="E131" s="30" t="s">
        <v>268</v>
      </c>
      <c r="F131" s="140"/>
      <c r="G131" s="142"/>
      <c r="H131" s="90"/>
      <c r="I131" s="113" t="s">
        <v>439</v>
      </c>
      <c r="J131" s="113" t="s">
        <v>438</v>
      </c>
      <c r="K131" s="111" t="s">
        <v>437</v>
      </c>
      <c r="L131" s="113" t="s">
        <v>440</v>
      </c>
    </row>
    <row r="132" spans="1:12" s="29" customFormat="1" ht="18" customHeight="1">
      <c r="A132" s="26">
        <v>23</v>
      </c>
      <c r="B132" s="49" t="s">
        <v>304</v>
      </c>
      <c r="C132" s="49" t="s">
        <v>462</v>
      </c>
      <c r="D132" s="30" t="s">
        <v>269</v>
      </c>
      <c r="E132" s="30" t="s">
        <v>269</v>
      </c>
      <c r="F132" s="140"/>
      <c r="G132" s="142"/>
      <c r="H132" s="90"/>
      <c r="I132" s="114"/>
      <c r="J132" s="114"/>
      <c r="K132" s="111"/>
      <c r="L132" s="114"/>
    </row>
    <row r="133" spans="1:12" s="29" customFormat="1" ht="18" customHeight="1">
      <c r="A133" s="26">
        <v>24</v>
      </c>
      <c r="B133" s="49" t="s">
        <v>305</v>
      </c>
      <c r="C133" s="49" t="s">
        <v>463</v>
      </c>
      <c r="D133" s="30" t="s">
        <v>270</v>
      </c>
      <c r="E133" s="30" t="s">
        <v>270</v>
      </c>
      <c r="F133" s="140"/>
      <c r="G133" s="142"/>
      <c r="H133" s="90"/>
      <c r="I133" s="114"/>
      <c r="J133" s="114"/>
      <c r="K133" s="111"/>
      <c r="L133" s="114"/>
    </row>
    <row r="134" spans="1:12" s="29" customFormat="1" ht="18" customHeight="1">
      <c r="A134" s="26">
        <v>25</v>
      </c>
      <c r="B134" s="49" t="s">
        <v>281</v>
      </c>
      <c r="C134" s="49" t="s">
        <v>422</v>
      </c>
      <c r="D134" s="30" t="s">
        <v>271</v>
      </c>
      <c r="E134" s="30" t="s">
        <v>271</v>
      </c>
      <c r="F134" s="140"/>
      <c r="G134" s="142"/>
      <c r="H134" s="90"/>
      <c r="I134" s="114"/>
      <c r="J134" s="114"/>
      <c r="K134" s="111"/>
      <c r="L134" s="114"/>
    </row>
    <row r="135" spans="1:12" s="29" customFormat="1" ht="18" customHeight="1">
      <c r="A135" s="26">
        <v>26</v>
      </c>
      <c r="B135" s="49" t="s">
        <v>306</v>
      </c>
      <c r="C135" s="49" t="s">
        <v>464</v>
      </c>
      <c r="D135" s="30" t="s">
        <v>272</v>
      </c>
      <c r="E135" s="30" t="s">
        <v>272</v>
      </c>
      <c r="F135" s="140"/>
      <c r="G135" s="142"/>
      <c r="H135" s="90"/>
      <c r="I135" s="114"/>
      <c r="J135" s="114"/>
      <c r="K135" s="111"/>
      <c r="L135" s="114"/>
    </row>
    <row r="136" spans="1:12" s="29" customFormat="1" ht="18" customHeight="1">
      <c r="A136" s="26">
        <v>27</v>
      </c>
      <c r="B136" s="49" t="s">
        <v>282</v>
      </c>
      <c r="C136" s="49" t="s">
        <v>465</v>
      </c>
      <c r="D136" s="30" t="s">
        <v>273</v>
      </c>
      <c r="E136" s="30" t="s">
        <v>273</v>
      </c>
      <c r="F136" s="140"/>
      <c r="G136" s="142"/>
      <c r="H136" s="90"/>
      <c r="I136" s="114"/>
      <c r="J136" s="114"/>
      <c r="K136" s="111"/>
      <c r="L136" s="114"/>
    </row>
    <row r="137" spans="1:12" s="29" customFormat="1" ht="18" customHeight="1">
      <c r="A137" s="26">
        <v>28</v>
      </c>
      <c r="B137" s="49" t="s">
        <v>283</v>
      </c>
      <c r="C137" s="49" t="s">
        <v>466</v>
      </c>
      <c r="D137" s="30" t="s">
        <v>274</v>
      </c>
      <c r="E137" s="30" t="s">
        <v>274</v>
      </c>
      <c r="F137" s="140"/>
      <c r="G137" s="142"/>
      <c r="H137" s="90"/>
      <c r="I137" s="114"/>
      <c r="J137" s="114"/>
      <c r="K137" s="111"/>
      <c r="L137" s="114"/>
    </row>
    <row r="138" spans="1:12" s="29" customFormat="1" ht="18" customHeight="1">
      <c r="A138" s="26">
        <v>29</v>
      </c>
      <c r="B138" s="49" t="s">
        <v>284</v>
      </c>
      <c r="C138" s="49" t="s">
        <v>467</v>
      </c>
      <c r="D138" s="30" t="s">
        <v>275</v>
      </c>
      <c r="E138" s="30" t="s">
        <v>275</v>
      </c>
      <c r="F138" s="140"/>
      <c r="G138" s="142"/>
      <c r="H138" s="90"/>
      <c r="I138" s="114"/>
      <c r="J138" s="114"/>
      <c r="K138" s="111"/>
      <c r="L138" s="114"/>
    </row>
    <row r="139" spans="1:12" s="29" customFormat="1" ht="16.95" customHeight="1">
      <c r="A139" s="26">
        <v>30</v>
      </c>
      <c r="B139" s="49" t="s">
        <v>159</v>
      </c>
      <c r="C139" s="49" t="s">
        <v>159</v>
      </c>
      <c r="D139" s="30" t="s">
        <v>276</v>
      </c>
      <c r="E139" s="30" t="s">
        <v>276</v>
      </c>
      <c r="F139" s="140"/>
      <c r="G139" s="142"/>
      <c r="H139" s="90"/>
      <c r="I139" s="114"/>
      <c r="J139" s="114"/>
      <c r="K139" s="111"/>
      <c r="L139" s="114"/>
    </row>
    <row r="140" spans="1:12" s="29" customFormat="1" ht="18" customHeight="1">
      <c r="A140" s="26">
        <v>31</v>
      </c>
      <c r="B140" s="49" t="s">
        <v>285</v>
      </c>
      <c r="C140" s="49" t="s">
        <v>468</v>
      </c>
      <c r="D140" s="30" t="s">
        <v>277</v>
      </c>
      <c r="E140" s="30" t="s">
        <v>277</v>
      </c>
      <c r="F140" s="140"/>
      <c r="G140" s="142"/>
      <c r="H140" s="90"/>
      <c r="I140" s="114"/>
      <c r="J140" s="114"/>
      <c r="K140" s="111"/>
      <c r="L140" s="114"/>
    </row>
    <row r="141" spans="1:12" s="29" customFormat="1" ht="18" customHeight="1">
      <c r="A141" s="26">
        <v>32</v>
      </c>
      <c r="B141" s="49" t="s">
        <v>470</v>
      </c>
      <c r="C141" s="49" t="s">
        <v>471</v>
      </c>
      <c r="D141" s="30" t="s">
        <v>278</v>
      </c>
      <c r="E141" s="30" t="s">
        <v>278</v>
      </c>
      <c r="F141" s="141"/>
      <c r="G141" s="142"/>
      <c r="H141" s="90"/>
      <c r="I141" s="114"/>
      <c r="J141" s="114"/>
      <c r="K141" s="111"/>
      <c r="L141" s="114"/>
    </row>
    <row r="142" spans="1:12" s="29" customFormat="1" ht="18" customHeight="1">
      <c r="A142" s="26">
        <v>33</v>
      </c>
      <c r="B142" s="49" t="s">
        <v>472</v>
      </c>
      <c r="C142" s="49" t="s">
        <v>473</v>
      </c>
      <c r="D142" s="27" t="s">
        <v>309</v>
      </c>
      <c r="E142" s="27" t="s">
        <v>309</v>
      </c>
      <c r="F142" s="138"/>
      <c r="G142" s="142" t="s">
        <v>250</v>
      </c>
      <c r="H142" s="90"/>
      <c r="I142" s="114"/>
      <c r="J142" s="114"/>
      <c r="K142" s="111"/>
      <c r="L142" s="114"/>
    </row>
    <row r="143" spans="1:12" s="29" customFormat="1" ht="18" customHeight="1">
      <c r="A143" s="26">
        <v>34</v>
      </c>
      <c r="B143" s="49" t="s">
        <v>474</v>
      </c>
      <c r="C143" s="49" t="s">
        <v>475</v>
      </c>
      <c r="D143" s="27" t="s">
        <v>310</v>
      </c>
      <c r="E143" s="27" t="s">
        <v>310</v>
      </c>
      <c r="F143" s="138"/>
      <c r="G143" s="142"/>
      <c r="H143" s="90"/>
      <c r="I143" s="114"/>
      <c r="J143" s="114"/>
      <c r="K143" s="111"/>
      <c r="L143" s="114"/>
    </row>
    <row r="144" spans="1:12" s="29" customFormat="1" ht="18" customHeight="1">
      <c r="A144" s="26">
        <v>35</v>
      </c>
      <c r="B144" s="49" t="s">
        <v>307</v>
      </c>
      <c r="C144" s="49" t="s">
        <v>469</v>
      </c>
      <c r="D144" s="27" t="s">
        <v>311</v>
      </c>
      <c r="E144" s="27" t="s">
        <v>311</v>
      </c>
      <c r="F144" s="138"/>
      <c r="G144" s="142"/>
      <c r="H144" s="90"/>
      <c r="I144" s="114"/>
      <c r="J144" s="114"/>
      <c r="K144" s="111"/>
      <c r="L144" s="114"/>
    </row>
    <row r="145" spans="1:12" s="29" customFormat="1" ht="18" customHeight="1">
      <c r="A145" s="26">
        <v>36</v>
      </c>
      <c r="B145" s="49" t="s">
        <v>476</v>
      </c>
      <c r="C145" s="49" t="s">
        <v>477</v>
      </c>
      <c r="D145" s="27" t="s">
        <v>312</v>
      </c>
      <c r="E145" s="27" t="s">
        <v>312</v>
      </c>
      <c r="F145" s="138"/>
      <c r="G145" s="142"/>
      <c r="H145" s="90"/>
      <c r="I145" s="114"/>
      <c r="J145" s="114"/>
      <c r="K145" s="111"/>
      <c r="L145" s="114"/>
    </row>
    <row r="146" spans="1:12" s="29" customFormat="1" ht="18" customHeight="1">
      <c r="A146" s="26">
        <v>37</v>
      </c>
      <c r="B146" s="49" t="s">
        <v>308</v>
      </c>
      <c r="C146" s="49" t="s">
        <v>478</v>
      </c>
      <c r="D146" s="27" t="s">
        <v>313</v>
      </c>
      <c r="E146" s="27" t="s">
        <v>313</v>
      </c>
      <c r="F146" s="138"/>
      <c r="G146" s="142"/>
      <c r="H146" s="90"/>
      <c r="I146" s="114"/>
      <c r="J146" s="114"/>
      <c r="K146" s="111"/>
      <c r="L146" s="114"/>
    </row>
    <row r="147" spans="1:12" s="29" customFormat="1" ht="18" customHeight="1">
      <c r="A147" s="26">
        <v>38</v>
      </c>
      <c r="B147" s="49" t="s">
        <v>599</v>
      </c>
      <c r="C147" s="49" t="s">
        <v>600</v>
      </c>
      <c r="D147" s="27" t="s">
        <v>314</v>
      </c>
      <c r="E147" s="27" t="s">
        <v>314</v>
      </c>
      <c r="F147" s="138"/>
      <c r="G147" s="142"/>
      <c r="H147" s="90"/>
      <c r="I147" s="115"/>
      <c r="J147" s="115"/>
      <c r="K147" s="111"/>
      <c r="L147" s="115"/>
    </row>
    <row r="148" spans="1:12" s="32" customFormat="1" ht="18" customHeight="1">
      <c r="A148" s="26">
        <v>39</v>
      </c>
      <c r="B148" s="49" t="s">
        <v>618</v>
      </c>
      <c r="C148" s="49" t="s">
        <v>618</v>
      </c>
      <c r="D148" s="27" t="s">
        <v>315</v>
      </c>
      <c r="E148" s="27" t="s">
        <v>315</v>
      </c>
      <c r="F148" s="138"/>
      <c r="G148" s="142"/>
      <c r="H148" s="90"/>
      <c r="I148" s="102"/>
      <c r="J148" s="102"/>
      <c r="K148" s="102"/>
      <c r="L148" s="102"/>
    </row>
    <row r="149" spans="1:12" s="32" customFormat="1" ht="18" customHeight="1">
      <c r="A149" s="26">
        <v>40</v>
      </c>
      <c r="B149" s="49" t="s">
        <v>618</v>
      </c>
      <c r="C149" s="49" t="s">
        <v>618</v>
      </c>
      <c r="D149" s="27" t="s">
        <v>316</v>
      </c>
      <c r="E149" s="27" t="s">
        <v>316</v>
      </c>
      <c r="F149" s="138"/>
      <c r="G149" s="142"/>
      <c r="H149" s="90"/>
      <c r="I149" s="102"/>
      <c r="J149" s="102"/>
      <c r="K149" s="102"/>
      <c r="L149" s="102"/>
    </row>
    <row r="150" spans="1:12" s="32" customFormat="1" ht="18" customHeight="1">
      <c r="A150" s="26">
        <v>41</v>
      </c>
      <c r="B150" s="49" t="s">
        <v>618</v>
      </c>
      <c r="C150" s="49" t="s">
        <v>618</v>
      </c>
      <c r="D150" s="27" t="s">
        <v>317</v>
      </c>
      <c r="E150" s="27" t="s">
        <v>317</v>
      </c>
      <c r="F150" s="138"/>
      <c r="G150" s="142"/>
      <c r="H150" s="90"/>
      <c r="I150" s="102"/>
      <c r="J150" s="102"/>
      <c r="K150" s="102"/>
      <c r="L150" s="102"/>
    </row>
    <row r="151" spans="1:12" s="32" customFormat="1" ht="18" customHeight="1">
      <c r="A151" s="26">
        <v>42</v>
      </c>
      <c r="B151" s="49" t="s">
        <v>618</v>
      </c>
      <c r="C151" s="49" t="s">
        <v>618</v>
      </c>
      <c r="D151" s="27" t="s">
        <v>318</v>
      </c>
      <c r="E151" s="27" t="s">
        <v>318</v>
      </c>
      <c r="F151" s="138"/>
      <c r="G151" s="142"/>
      <c r="H151" s="90"/>
      <c r="I151" s="102"/>
      <c r="J151" s="102"/>
      <c r="K151" s="102"/>
      <c r="L151" s="102"/>
    </row>
    <row r="152" spans="1:12" s="29" customFormat="1" ht="18" customHeight="1">
      <c r="A152" s="26">
        <v>43</v>
      </c>
      <c r="B152" s="49" t="s">
        <v>602</v>
      </c>
      <c r="C152" s="49" t="s">
        <v>603</v>
      </c>
      <c r="D152" s="27" t="s">
        <v>319</v>
      </c>
      <c r="E152" s="27" t="s">
        <v>319</v>
      </c>
      <c r="F152" s="138"/>
      <c r="G152" s="142"/>
      <c r="H152" s="90"/>
      <c r="I152" s="34"/>
      <c r="J152" s="34"/>
      <c r="K152" s="34"/>
      <c r="L152" s="34"/>
    </row>
    <row r="153" spans="1:12" s="29" customFormat="1" ht="18" customHeight="1">
      <c r="A153" s="26">
        <v>44</v>
      </c>
      <c r="B153" s="49" t="s">
        <v>650</v>
      </c>
      <c r="C153" s="49" t="s">
        <v>651</v>
      </c>
      <c r="D153" s="27" t="s">
        <v>320</v>
      </c>
      <c r="E153" s="27" t="s">
        <v>320</v>
      </c>
      <c r="F153" s="138"/>
      <c r="G153" s="142"/>
      <c r="I153" s="84" t="s">
        <v>666</v>
      </c>
      <c r="J153" s="85" t="s">
        <v>667</v>
      </c>
      <c r="K153" s="84" t="s">
        <v>542</v>
      </c>
      <c r="L153" s="101" t="s">
        <v>489</v>
      </c>
    </row>
    <row r="154" spans="1:12" s="29" customFormat="1" ht="18" customHeight="1">
      <c r="A154" s="26">
        <v>45</v>
      </c>
      <c r="B154" s="49" t="s">
        <v>159</v>
      </c>
      <c r="C154" s="49" t="s">
        <v>159</v>
      </c>
      <c r="D154" s="27" t="s">
        <v>321</v>
      </c>
      <c r="E154" s="27" t="s">
        <v>321</v>
      </c>
      <c r="F154" s="138"/>
      <c r="G154" s="142"/>
      <c r="H154" s="90"/>
      <c r="I154" s="34"/>
      <c r="J154" s="34"/>
      <c r="K154" s="34"/>
      <c r="L154" s="34"/>
    </row>
    <row r="155" spans="1:12" s="29" customFormat="1" ht="18" customHeight="1">
      <c r="A155" s="26">
        <v>46</v>
      </c>
      <c r="B155" s="49" t="s">
        <v>159</v>
      </c>
      <c r="C155" s="49" t="s">
        <v>159</v>
      </c>
      <c r="D155" s="27" t="s">
        <v>322</v>
      </c>
      <c r="E155" s="27" t="s">
        <v>322</v>
      </c>
      <c r="F155" s="138"/>
      <c r="G155" s="142"/>
      <c r="H155" s="90"/>
      <c r="I155" s="34"/>
      <c r="J155" s="34"/>
      <c r="K155" s="34"/>
      <c r="L155" s="34"/>
    </row>
    <row r="156" spans="1:12" s="29" customFormat="1" ht="18" customHeight="1">
      <c r="A156" s="26">
        <v>47</v>
      </c>
      <c r="B156" s="49" t="s">
        <v>159</v>
      </c>
      <c r="C156" s="49" t="s">
        <v>159</v>
      </c>
      <c r="D156" s="27" t="s">
        <v>323</v>
      </c>
      <c r="E156" s="27" t="s">
        <v>323</v>
      </c>
      <c r="F156" s="138"/>
      <c r="G156" s="142"/>
      <c r="H156" s="90"/>
      <c r="I156" s="34"/>
      <c r="J156" s="34"/>
      <c r="K156" s="34"/>
      <c r="L156" s="34"/>
    </row>
    <row r="157" spans="1:12" s="29" customFormat="1" ht="18" customHeight="1">
      <c r="A157" s="26">
        <v>48</v>
      </c>
      <c r="B157" s="49" t="s">
        <v>159</v>
      </c>
      <c r="C157" s="49" t="s">
        <v>159</v>
      </c>
      <c r="D157" s="27" t="s">
        <v>324</v>
      </c>
      <c r="E157" s="27" t="s">
        <v>324</v>
      </c>
      <c r="F157" s="138"/>
      <c r="G157" s="142"/>
      <c r="H157" s="90"/>
      <c r="I157" s="34"/>
      <c r="J157" s="34"/>
      <c r="K157" s="34"/>
      <c r="L157" s="34"/>
    </row>
    <row r="158" spans="1:12" s="29" customFormat="1" ht="19.5" customHeight="1">
      <c r="B158" s="33"/>
      <c r="C158" s="33"/>
      <c r="D158" s="33"/>
      <c r="E158" s="33"/>
      <c r="F158" s="61"/>
      <c r="G158" s="57"/>
      <c r="H158" s="90"/>
      <c r="I158" s="55"/>
      <c r="J158" s="37"/>
      <c r="K158" s="34"/>
      <c r="L158" s="55"/>
    </row>
    <row r="159" spans="1:12" s="39" customFormat="1" ht="18" customHeight="1">
      <c r="A159" s="136" t="s">
        <v>72</v>
      </c>
      <c r="B159" s="137"/>
      <c r="C159" s="137"/>
      <c r="D159" s="137"/>
      <c r="E159" s="137"/>
      <c r="F159" s="137"/>
      <c r="G159" s="137"/>
      <c r="H159" s="137"/>
      <c r="I159" s="137"/>
      <c r="J159" s="137"/>
      <c r="K159" s="137"/>
      <c r="L159" s="137"/>
    </row>
    <row r="160" spans="1:12" s="41" customFormat="1" ht="18" customHeight="1">
      <c r="A160" s="62" t="s">
        <v>19</v>
      </c>
      <c r="B160" s="63" t="s">
        <v>20</v>
      </c>
      <c r="C160" s="64" t="s">
        <v>30</v>
      </c>
      <c r="D160" s="60" t="s">
        <v>21</v>
      </c>
      <c r="E160" s="60" t="s">
        <v>22</v>
      </c>
      <c r="F160" s="60"/>
      <c r="G160" s="63"/>
      <c r="H160" s="99"/>
      <c r="I160" s="63" t="s">
        <v>23</v>
      </c>
      <c r="J160" s="63" t="s">
        <v>24</v>
      </c>
      <c r="K160" s="62" t="s">
        <v>25</v>
      </c>
      <c r="L160" s="62" t="s">
        <v>26</v>
      </c>
    </row>
    <row r="161" spans="1:12" s="65" customFormat="1" ht="34.950000000000003" customHeight="1">
      <c r="A161" s="38">
        <v>1</v>
      </c>
      <c r="B161" s="36" t="s">
        <v>325</v>
      </c>
      <c r="C161" s="50"/>
      <c r="D161" s="40" t="s">
        <v>596</v>
      </c>
      <c r="E161" s="40" t="s">
        <v>596</v>
      </c>
      <c r="F161" s="40"/>
      <c r="G161" s="142" t="s">
        <v>257</v>
      </c>
      <c r="H161" s="90"/>
      <c r="I161" s="49" t="s">
        <v>327</v>
      </c>
      <c r="J161" s="49"/>
      <c r="K161" s="49"/>
      <c r="L161" s="111" t="s">
        <v>537</v>
      </c>
    </row>
    <row r="162" spans="1:12" s="65" customFormat="1" ht="18">
      <c r="A162" s="38">
        <v>2</v>
      </c>
      <c r="B162" s="36" t="s">
        <v>326</v>
      </c>
      <c r="C162" s="50"/>
      <c r="D162" s="40" t="s">
        <v>615</v>
      </c>
      <c r="E162" s="40" t="s">
        <v>615</v>
      </c>
      <c r="F162" s="40"/>
      <c r="G162" s="142"/>
      <c r="H162" s="90"/>
      <c r="I162" s="49" t="s">
        <v>327</v>
      </c>
      <c r="J162" s="49"/>
      <c r="K162" s="49"/>
      <c r="L162" s="111"/>
    </row>
    <row r="163" spans="1:12" s="39" customFormat="1">
      <c r="E163" s="31"/>
      <c r="F163" s="31"/>
      <c r="G163" s="31"/>
      <c r="H163" s="31"/>
      <c r="I163" s="31"/>
      <c r="J163" s="31"/>
      <c r="K163" s="31"/>
      <c r="L163" s="31"/>
    </row>
    <row r="164" spans="1:12" s="39" customFormat="1" ht="15.45" customHeight="1">
      <c r="A164" s="122" t="s">
        <v>557</v>
      </c>
      <c r="B164" s="122"/>
      <c r="C164" s="122"/>
      <c r="D164" s="122"/>
      <c r="E164" s="122"/>
      <c r="F164" s="122"/>
      <c r="G164" s="122"/>
      <c r="H164" s="122"/>
      <c r="I164" s="122"/>
      <c r="J164" s="31"/>
      <c r="K164" s="31"/>
      <c r="L164" s="31"/>
    </row>
    <row r="165" spans="1:12" s="39" customFormat="1" ht="31.2">
      <c r="A165" s="23" t="s">
        <v>19</v>
      </c>
      <c r="B165" s="24" t="s">
        <v>20</v>
      </c>
      <c r="C165" s="24" t="s">
        <v>30</v>
      </c>
      <c r="D165" s="23" t="s">
        <v>21</v>
      </c>
      <c r="E165" s="23" t="s">
        <v>22</v>
      </c>
      <c r="F165" s="23" t="s">
        <v>541</v>
      </c>
      <c r="G165" s="11" t="s">
        <v>24</v>
      </c>
      <c r="H165" s="23" t="s">
        <v>25</v>
      </c>
      <c r="I165" s="7" t="s">
        <v>26</v>
      </c>
      <c r="J165" s="31"/>
      <c r="K165" s="31"/>
      <c r="L165" s="31"/>
    </row>
    <row r="166" spans="1:12" s="39" customFormat="1" ht="18" customHeight="1">
      <c r="A166" s="74">
        <v>1</v>
      </c>
      <c r="B166" s="49" t="s">
        <v>211</v>
      </c>
      <c r="C166" s="49" t="s">
        <v>404</v>
      </c>
      <c r="D166" s="30" t="s">
        <v>545</v>
      </c>
      <c r="E166" s="30" t="s">
        <v>545</v>
      </c>
      <c r="F166" s="108" t="s">
        <v>632</v>
      </c>
      <c r="G166" s="123" t="s">
        <v>622</v>
      </c>
      <c r="H166" s="123" t="s">
        <v>542</v>
      </c>
      <c r="I166" s="123" t="s">
        <v>543</v>
      </c>
      <c r="J166" s="31"/>
      <c r="K166" s="31"/>
      <c r="L166" s="31"/>
    </row>
    <row r="167" spans="1:12" s="39" customFormat="1" ht="18">
      <c r="A167" s="74">
        <v>2</v>
      </c>
      <c r="B167" s="49" t="s">
        <v>212</v>
      </c>
      <c r="C167" s="49" t="s">
        <v>405</v>
      </c>
      <c r="D167" s="30" t="s">
        <v>546</v>
      </c>
      <c r="E167" s="30" t="s">
        <v>546</v>
      </c>
      <c r="F167" s="108"/>
      <c r="G167" s="123"/>
      <c r="H167" s="123"/>
      <c r="I167" s="123"/>
      <c r="J167" s="31"/>
      <c r="K167" s="31"/>
      <c r="L167" s="31"/>
    </row>
    <row r="168" spans="1:12" s="39" customFormat="1" ht="18">
      <c r="A168" s="74">
        <v>3</v>
      </c>
      <c r="B168" s="82" t="s">
        <v>231</v>
      </c>
      <c r="C168" s="82" t="s">
        <v>417</v>
      </c>
      <c r="D168" s="30" t="s">
        <v>547</v>
      </c>
      <c r="E168" s="30" t="s">
        <v>547</v>
      </c>
      <c r="F168" s="108" t="s">
        <v>632</v>
      </c>
      <c r="G168" s="123"/>
      <c r="H168" s="123"/>
      <c r="I168" s="123"/>
      <c r="J168" s="31"/>
      <c r="K168" s="31"/>
      <c r="L168" s="31"/>
    </row>
    <row r="169" spans="1:12" s="39" customFormat="1" ht="18">
      <c r="A169" s="74">
        <v>4</v>
      </c>
      <c r="B169" s="82" t="s">
        <v>655</v>
      </c>
      <c r="C169" s="82" t="s">
        <v>656</v>
      </c>
      <c r="D169" s="30" t="s">
        <v>617</v>
      </c>
      <c r="E169" s="30" t="s">
        <v>617</v>
      </c>
      <c r="F169" s="108"/>
      <c r="G169" s="123"/>
      <c r="H169" s="123"/>
      <c r="I169" s="123"/>
      <c r="J169" s="31"/>
      <c r="K169" s="31"/>
      <c r="L169" s="31"/>
    </row>
    <row r="170" spans="1:12" s="39" customFormat="1" ht="18">
      <c r="A170" s="74">
        <v>5</v>
      </c>
      <c r="B170" s="49" t="s">
        <v>189</v>
      </c>
      <c r="C170" s="67" t="s">
        <v>381</v>
      </c>
      <c r="D170" s="30" t="s">
        <v>548</v>
      </c>
      <c r="E170" s="30" t="s">
        <v>548</v>
      </c>
      <c r="F170" s="108" t="s">
        <v>632</v>
      </c>
      <c r="G170" s="123"/>
      <c r="H170" s="123"/>
      <c r="I170" s="123"/>
      <c r="J170" s="31"/>
      <c r="K170" s="31"/>
      <c r="L170" s="31"/>
    </row>
    <row r="171" spans="1:12" s="39" customFormat="1" ht="18">
      <c r="A171" s="74">
        <v>6</v>
      </c>
      <c r="B171" s="49" t="s">
        <v>190</v>
      </c>
      <c r="C171" s="67" t="s">
        <v>382</v>
      </c>
      <c r="D171" s="30" t="s">
        <v>619</v>
      </c>
      <c r="E171" s="30" t="s">
        <v>619</v>
      </c>
      <c r="F171" s="108"/>
      <c r="G171" s="123"/>
      <c r="H171" s="123"/>
      <c r="I171" s="123"/>
      <c r="J171" s="31"/>
      <c r="K171" s="31"/>
      <c r="L171" s="31"/>
    </row>
    <row r="172" spans="1:12" s="39" customFormat="1" ht="18">
      <c r="A172" s="74">
        <v>7</v>
      </c>
      <c r="B172" s="49" t="s">
        <v>202</v>
      </c>
      <c r="C172" s="49" t="s">
        <v>395</v>
      </c>
      <c r="D172" s="30" t="s">
        <v>549</v>
      </c>
      <c r="E172" s="30" t="s">
        <v>549</v>
      </c>
      <c r="F172" s="108" t="s">
        <v>632</v>
      </c>
      <c r="G172" s="123"/>
      <c r="H172" s="123"/>
      <c r="I172" s="123"/>
      <c r="J172" s="31"/>
      <c r="K172" s="31"/>
      <c r="L172" s="31"/>
    </row>
    <row r="173" spans="1:12" s="39" customFormat="1" ht="18">
      <c r="A173" s="74">
        <v>8</v>
      </c>
      <c r="B173" s="49" t="s">
        <v>203</v>
      </c>
      <c r="C173" s="49" t="s">
        <v>597</v>
      </c>
      <c r="D173" s="30" t="s">
        <v>620</v>
      </c>
      <c r="E173" s="30" t="s">
        <v>620</v>
      </c>
      <c r="F173" s="108"/>
      <c r="G173" s="123"/>
      <c r="H173" s="123"/>
      <c r="I173" s="123"/>
      <c r="J173" s="31"/>
      <c r="K173" s="31"/>
      <c r="L173" s="31"/>
    </row>
    <row r="174" spans="1:12" s="39" customFormat="1" ht="18">
      <c r="A174" s="74">
        <v>9</v>
      </c>
      <c r="B174" s="49" t="s">
        <v>204</v>
      </c>
      <c r="C174" s="49" t="s">
        <v>396</v>
      </c>
      <c r="D174" s="30" t="s">
        <v>550</v>
      </c>
      <c r="E174" s="30" t="s">
        <v>550</v>
      </c>
      <c r="F174" s="108" t="s">
        <v>632</v>
      </c>
      <c r="G174" s="123"/>
      <c r="H174" s="123"/>
      <c r="I174" s="123"/>
      <c r="J174" s="31"/>
      <c r="K174" s="31"/>
      <c r="L174" s="31"/>
    </row>
    <row r="175" spans="1:12" s="39" customFormat="1" ht="18">
      <c r="A175" s="74">
        <v>10</v>
      </c>
      <c r="B175" s="49" t="s">
        <v>205</v>
      </c>
      <c r="C175" s="49" t="s">
        <v>598</v>
      </c>
      <c r="D175" s="30" t="s">
        <v>621</v>
      </c>
      <c r="E175" s="30" t="s">
        <v>621</v>
      </c>
      <c r="F175" s="108"/>
      <c r="G175" s="123"/>
      <c r="H175" s="123"/>
      <c r="I175" s="123"/>
      <c r="J175" s="31"/>
      <c r="K175" s="31"/>
      <c r="L175" s="31"/>
    </row>
    <row r="176" spans="1:12" s="39" customFormat="1" ht="18">
      <c r="A176" s="74">
        <v>11</v>
      </c>
      <c r="B176" s="49" t="s">
        <v>159</v>
      </c>
      <c r="C176" s="49" t="s">
        <v>159</v>
      </c>
      <c r="D176" s="30" t="s">
        <v>551</v>
      </c>
      <c r="E176" s="30" t="s">
        <v>551</v>
      </c>
      <c r="F176" s="108" t="s">
        <v>632</v>
      </c>
      <c r="G176" s="123"/>
      <c r="H176" s="123"/>
      <c r="I176" s="123"/>
      <c r="J176" s="31"/>
      <c r="K176" s="31"/>
      <c r="L176" s="31"/>
    </row>
    <row r="177" spans="1:12" s="39" customFormat="1" ht="18">
      <c r="A177" s="74">
        <v>12</v>
      </c>
      <c r="B177" s="49" t="s">
        <v>159</v>
      </c>
      <c r="C177" s="49" t="s">
        <v>159</v>
      </c>
      <c r="D177" s="30" t="s">
        <v>552</v>
      </c>
      <c r="E177" s="30" t="s">
        <v>552</v>
      </c>
      <c r="F177" s="108"/>
      <c r="G177" s="123"/>
      <c r="H177" s="123"/>
      <c r="I177" s="123"/>
      <c r="J177" s="31"/>
      <c r="K177" s="31"/>
      <c r="L177" s="31"/>
    </row>
    <row r="178" spans="1:12" s="39" customFormat="1" ht="18">
      <c r="A178" s="74">
        <v>13</v>
      </c>
      <c r="B178" s="49" t="s">
        <v>159</v>
      </c>
      <c r="C178" s="49" t="s">
        <v>159</v>
      </c>
      <c r="D178" s="30" t="s">
        <v>553</v>
      </c>
      <c r="E178" s="30" t="s">
        <v>553</v>
      </c>
      <c r="F178" s="108" t="s">
        <v>632</v>
      </c>
      <c r="G178" s="123"/>
      <c r="H178" s="123"/>
      <c r="I178" s="123"/>
      <c r="J178" s="31"/>
      <c r="K178" s="31"/>
      <c r="L178" s="31"/>
    </row>
    <row r="179" spans="1:12" s="39" customFormat="1" ht="18">
      <c r="A179" s="74">
        <v>14</v>
      </c>
      <c r="B179" s="49" t="s">
        <v>159</v>
      </c>
      <c r="C179" s="49" t="s">
        <v>159</v>
      </c>
      <c r="D179" s="30" t="s">
        <v>554</v>
      </c>
      <c r="E179" s="30" t="s">
        <v>554</v>
      </c>
      <c r="F179" s="108"/>
      <c r="G179" s="123"/>
      <c r="H179" s="123"/>
      <c r="I179" s="123"/>
      <c r="J179" s="31"/>
      <c r="K179" s="31"/>
      <c r="L179" s="31"/>
    </row>
    <row r="180" spans="1:12" s="39" customFormat="1" ht="18">
      <c r="A180" s="74">
        <v>15</v>
      </c>
      <c r="B180" s="49" t="s">
        <v>159</v>
      </c>
      <c r="C180" s="49" t="s">
        <v>159</v>
      </c>
      <c r="D180" s="30" t="s">
        <v>555</v>
      </c>
      <c r="E180" s="30" t="s">
        <v>555</v>
      </c>
      <c r="F180" s="108" t="s">
        <v>632</v>
      </c>
      <c r="G180" s="123"/>
      <c r="H180" s="123"/>
      <c r="I180" s="123"/>
      <c r="J180" s="31"/>
      <c r="K180" s="31"/>
      <c r="L180" s="31"/>
    </row>
    <row r="181" spans="1:12" s="39" customFormat="1" ht="18">
      <c r="A181" s="74">
        <v>16</v>
      </c>
      <c r="B181" s="49" t="s">
        <v>159</v>
      </c>
      <c r="C181" s="49" t="s">
        <v>159</v>
      </c>
      <c r="D181" s="30" t="s">
        <v>556</v>
      </c>
      <c r="E181" s="30" t="s">
        <v>556</v>
      </c>
      <c r="F181" s="108"/>
      <c r="G181" s="123"/>
      <c r="H181" s="123"/>
      <c r="I181" s="123"/>
      <c r="J181" s="31"/>
      <c r="K181" s="31"/>
      <c r="L181" s="31"/>
    </row>
    <row r="182" spans="1:12" s="39" customFormat="1" ht="18">
      <c r="A182" s="74">
        <v>17</v>
      </c>
      <c r="B182" s="49" t="s">
        <v>159</v>
      </c>
      <c r="C182" s="49" t="s">
        <v>159</v>
      </c>
      <c r="D182" s="30"/>
      <c r="E182" s="30"/>
      <c r="F182" s="30"/>
      <c r="G182" s="79"/>
      <c r="H182" s="79"/>
      <c r="I182" s="79"/>
      <c r="J182" s="31"/>
      <c r="K182" s="31"/>
      <c r="L182" s="31"/>
    </row>
    <row r="183" spans="1:12" s="39" customFormat="1" ht="18">
      <c r="A183" s="74">
        <v>18</v>
      </c>
      <c r="B183" s="49" t="s">
        <v>159</v>
      </c>
      <c r="C183" s="49" t="s">
        <v>159</v>
      </c>
      <c r="D183" s="30"/>
      <c r="E183" s="30"/>
      <c r="F183" s="30"/>
      <c r="G183" s="79"/>
      <c r="H183" s="79"/>
      <c r="I183" s="79"/>
      <c r="J183" s="31"/>
      <c r="K183" s="31"/>
      <c r="L183" s="31"/>
    </row>
    <row r="184" spans="1:12" s="39" customFormat="1" ht="18">
      <c r="A184" s="74">
        <v>19</v>
      </c>
      <c r="B184" s="49" t="s">
        <v>159</v>
      </c>
      <c r="C184" s="49" t="s">
        <v>159</v>
      </c>
      <c r="D184" s="30"/>
      <c r="E184" s="30"/>
      <c r="F184" s="30"/>
      <c r="G184" s="79"/>
      <c r="H184" s="79"/>
      <c r="I184" s="79"/>
      <c r="J184" s="31"/>
      <c r="K184" s="31"/>
      <c r="L184" s="31"/>
    </row>
    <row r="185" spans="1:12" s="39" customFormat="1" ht="18">
      <c r="A185" s="74">
        <v>20</v>
      </c>
      <c r="B185" s="49" t="s">
        <v>159</v>
      </c>
      <c r="C185" s="49" t="s">
        <v>159</v>
      </c>
      <c r="D185" s="30"/>
      <c r="E185" s="30"/>
      <c r="F185" s="30"/>
      <c r="G185" s="79"/>
      <c r="H185" s="79"/>
      <c r="I185" s="79"/>
      <c r="J185" s="31"/>
      <c r="K185" s="31"/>
      <c r="L185" s="31"/>
    </row>
    <row r="186" spans="1:12" s="39" customFormat="1" ht="18">
      <c r="A186" s="74">
        <v>21</v>
      </c>
      <c r="B186" s="49" t="s">
        <v>159</v>
      </c>
      <c r="C186" s="49" t="s">
        <v>159</v>
      </c>
      <c r="D186" s="30"/>
      <c r="E186" s="30"/>
      <c r="F186" s="30"/>
      <c r="G186" s="79"/>
      <c r="H186" s="79"/>
      <c r="I186" s="79"/>
      <c r="J186" s="31"/>
      <c r="K186" s="31"/>
      <c r="L186" s="31"/>
    </row>
    <row r="187" spans="1:12" s="39" customFormat="1" ht="18">
      <c r="A187" s="74">
        <v>22</v>
      </c>
      <c r="B187" s="49" t="s">
        <v>159</v>
      </c>
      <c r="C187" s="49" t="s">
        <v>159</v>
      </c>
      <c r="D187" s="30"/>
      <c r="E187" s="30"/>
      <c r="F187" s="30"/>
      <c r="G187" s="79"/>
      <c r="H187" s="79"/>
      <c r="I187" s="79"/>
      <c r="J187" s="31"/>
      <c r="K187" s="31"/>
      <c r="L187" s="31"/>
    </row>
    <row r="188" spans="1:12" s="39" customFormat="1" ht="18">
      <c r="A188" s="74">
        <v>23</v>
      </c>
      <c r="B188" s="49" t="s">
        <v>159</v>
      </c>
      <c r="C188" s="49" t="s">
        <v>159</v>
      </c>
      <c r="D188" s="30"/>
      <c r="E188" s="30"/>
      <c r="F188" s="30"/>
      <c r="G188" s="79"/>
      <c r="H188" s="79"/>
      <c r="I188" s="79"/>
      <c r="J188" s="31"/>
      <c r="K188" s="31"/>
      <c r="L188" s="31"/>
    </row>
    <row r="189" spans="1:12" s="39" customFormat="1" ht="18">
      <c r="A189" s="74">
        <v>24</v>
      </c>
      <c r="B189" s="49" t="s">
        <v>159</v>
      </c>
      <c r="C189" s="49" t="s">
        <v>159</v>
      </c>
      <c r="D189" s="30"/>
      <c r="E189" s="30"/>
      <c r="F189" s="30"/>
      <c r="G189" s="79"/>
      <c r="H189" s="79"/>
      <c r="I189" s="79"/>
      <c r="J189" s="31"/>
      <c r="K189" s="31"/>
      <c r="L189" s="31"/>
    </row>
    <row r="190" spans="1:12" s="39" customFormat="1" ht="18">
      <c r="A190" s="74">
        <v>25</v>
      </c>
      <c r="B190" s="49" t="s">
        <v>159</v>
      </c>
      <c r="C190" s="49" t="s">
        <v>159</v>
      </c>
      <c r="D190" s="30"/>
      <c r="E190" s="30"/>
      <c r="F190" s="30"/>
      <c r="G190" s="79"/>
      <c r="H190" s="79"/>
      <c r="I190" s="79"/>
      <c r="J190" s="31"/>
      <c r="K190" s="31"/>
      <c r="L190" s="31"/>
    </row>
    <row r="191" spans="1:12" s="39" customFormat="1" ht="18">
      <c r="A191" s="74">
        <v>26</v>
      </c>
      <c r="B191" s="49" t="s">
        <v>159</v>
      </c>
      <c r="C191" s="49" t="s">
        <v>159</v>
      </c>
      <c r="D191" s="30"/>
      <c r="E191" s="30"/>
      <c r="F191" s="30"/>
      <c r="G191" s="79"/>
      <c r="H191" s="79"/>
      <c r="I191" s="79"/>
      <c r="J191" s="31"/>
      <c r="K191" s="31"/>
      <c r="L191" s="31"/>
    </row>
    <row r="192" spans="1:12" s="39" customFormat="1" ht="18">
      <c r="A192" s="74">
        <v>27</v>
      </c>
      <c r="B192" s="49" t="s">
        <v>159</v>
      </c>
      <c r="C192" s="49" t="s">
        <v>159</v>
      </c>
      <c r="D192" s="30"/>
      <c r="E192" s="30"/>
      <c r="F192" s="30"/>
      <c r="G192" s="79"/>
      <c r="H192" s="79"/>
      <c r="I192" s="79"/>
      <c r="J192" s="31"/>
      <c r="K192" s="31"/>
      <c r="L192" s="31"/>
    </row>
    <row r="193" spans="1:12" s="39" customFormat="1" ht="18">
      <c r="A193" s="74">
        <v>28</v>
      </c>
      <c r="B193" s="49" t="s">
        <v>159</v>
      </c>
      <c r="C193" s="49" t="s">
        <v>159</v>
      </c>
      <c r="D193" s="30"/>
      <c r="E193" s="30"/>
      <c r="F193" s="30"/>
      <c r="G193" s="79"/>
      <c r="H193" s="79"/>
      <c r="I193" s="79"/>
      <c r="J193" s="31"/>
      <c r="K193" s="31"/>
      <c r="L193" s="31"/>
    </row>
    <row r="194" spans="1:12" s="39" customFormat="1" ht="18">
      <c r="A194" s="74">
        <v>29</v>
      </c>
      <c r="B194" s="49" t="s">
        <v>159</v>
      </c>
      <c r="C194" s="49" t="s">
        <v>159</v>
      </c>
      <c r="D194" s="30"/>
      <c r="E194" s="30"/>
      <c r="F194" s="30"/>
      <c r="G194" s="79"/>
      <c r="H194" s="79"/>
      <c r="I194" s="79"/>
      <c r="J194" s="31"/>
      <c r="K194" s="31"/>
      <c r="L194" s="31"/>
    </row>
    <row r="195" spans="1:12" s="39" customFormat="1" ht="18">
      <c r="A195" s="74">
        <v>30</v>
      </c>
      <c r="B195" s="49" t="s">
        <v>159</v>
      </c>
      <c r="C195" s="49" t="s">
        <v>159</v>
      </c>
      <c r="D195" s="30"/>
      <c r="E195" s="30"/>
      <c r="F195" s="30"/>
      <c r="G195" s="79"/>
      <c r="H195" s="79"/>
      <c r="I195" s="79"/>
      <c r="J195" s="31"/>
      <c r="K195" s="31"/>
      <c r="L195" s="31"/>
    </row>
    <row r="196" spans="1:12" s="39" customFormat="1" ht="18">
      <c r="A196" s="74">
        <v>31</v>
      </c>
      <c r="B196" s="49" t="s">
        <v>159</v>
      </c>
      <c r="C196" s="49" t="s">
        <v>159</v>
      </c>
      <c r="D196" s="30"/>
      <c r="E196" s="30"/>
      <c r="F196" s="30"/>
      <c r="G196" s="26"/>
      <c r="H196" s="26"/>
      <c r="I196" s="26"/>
      <c r="J196" s="31"/>
      <c r="K196" s="31"/>
      <c r="L196" s="31"/>
    </row>
    <row r="197" spans="1:12" s="39" customFormat="1">
      <c r="E197" s="31"/>
      <c r="F197" s="31"/>
      <c r="G197" s="31"/>
      <c r="H197" s="31"/>
      <c r="I197" s="31"/>
      <c r="J197" s="31"/>
      <c r="K197" s="31"/>
      <c r="L197" s="31"/>
    </row>
    <row r="198" spans="1:12" s="39" customFormat="1">
      <c r="E198" s="31"/>
      <c r="F198" s="31"/>
      <c r="G198" s="31"/>
      <c r="H198" s="31"/>
      <c r="I198" s="31"/>
      <c r="J198" s="31"/>
      <c r="K198" s="31"/>
      <c r="L198" s="31"/>
    </row>
    <row r="199" spans="1:12" s="39" customFormat="1" ht="17.399999999999999">
      <c r="A199" s="122" t="s">
        <v>540</v>
      </c>
      <c r="B199" s="122"/>
      <c r="C199" s="122"/>
      <c r="D199" s="122"/>
      <c r="E199" s="122"/>
      <c r="F199" s="122"/>
      <c r="G199" s="122"/>
      <c r="H199" s="122"/>
      <c r="I199" s="122"/>
      <c r="J199" s="31"/>
      <c r="K199" s="31"/>
      <c r="L199" s="31"/>
    </row>
    <row r="200" spans="1:12" s="39" customFormat="1" ht="31.2">
      <c r="A200" s="23" t="s">
        <v>19</v>
      </c>
      <c r="B200" s="24" t="s">
        <v>20</v>
      </c>
      <c r="C200" s="24" t="s">
        <v>30</v>
      </c>
      <c r="D200" s="23" t="s">
        <v>21</v>
      </c>
      <c r="E200" s="23" t="s">
        <v>22</v>
      </c>
      <c r="F200" s="23" t="s">
        <v>541</v>
      </c>
      <c r="G200" s="11" t="s">
        <v>24</v>
      </c>
      <c r="H200" s="23" t="s">
        <v>25</v>
      </c>
      <c r="I200" s="7" t="s">
        <v>26</v>
      </c>
      <c r="J200" s="31"/>
      <c r="K200" s="31"/>
      <c r="L200" s="31"/>
    </row>
    <row r="201" spans="1:12" s="39" customFormat="1" ht="18" customHeight="1">
      <c r="A201" s="74">
        <v>1</v>
      </c>
      <c r="B201" s="49" t="s">
        <v>174</v>
      </c>
      <c r="C201" s="67" t="s">
        <v>345</v>
      </c>
      <c r="D201" s="30" t="s">
        <v>588</v>
      </c>
      <c r="E201" s="30" t="s">
        <v>588</v>
      </c>
      <c r="F201" s="108" t="s">
        <v>632</v>
      </c>
      <c r="G201" s="123" t="s">
        <v>559</v>
      </c>
      <c r="H201" s="123" t="s">
        <v>542</v>
      </c>
      <c r="I201" s="123" t="s">
        <v>543</v>
      </c>
      <c r="J201" s="31"/>
      <c r="K201" s="31"/>
      <c r="L201" s="31"/>
    </row>
    <row r="202" spans="1:12" s="39" customFormat="1" ht="18">
      <c r="A202" s="74">
        <v>2</v>
      </c>
      <c r="B202" s="49" t="s">
        <v>175</v>
      </c>
      <c r="C202" s="67" t="s">
        <v>346</v>
      </c>
      <c r="D202" s="30" t="s">
        <v>623</v>
      </c>
      <c r="E202" s="30" t="s">
        <v>623</v>
      </c>
      <c r="F202" s="108"/>
      <c r="G202" s="123"/>
      <c r="H202" s="123"/>
      <c r="I202" s="123"/>
      <c r="J202" s="31"/>
      <c r="K202" s="31"/>
      <c r="L202" s="31"/>
    </row>
    <row r="203" spans="1:12" s="39" customFormat="1" ht="18">
      <c r="A203" s="74">
        <v>3</v>
      </c>
      <c r="B203" s="49" t="s">
        <v>177</v>
      </c>
      <c r="C203" s="67" t="s">
        <v>377</v>
      </c>
      <c r="D203" s="30" t="s">
        <v>589</v>
      </c>
      <c r="E203" s="30" t="s">
        <v>589</v>
      </c>
      <c r="F203" s="108" t="s">
        <v>632</v>
      </c>
      <c r="G203" s="123"/>
      <c r="H203" s="123"/>
      <c r="I203" s="123"/>
      <c r="J203" s="31"/>
      <c r="K203" s="31"/>
      <c r="L203" s="31"/>
    </row>
    <row r="204" spans="1:12" s="39" customFormat="1" ht="18">
      <c r="A204" s="74">
        <v>4</v>
      </c>
      <c r="B204" s="49" t="s">
        <v>178</v>
      </c>
      <c r="C204" s="67" t="s">
        <v>378</v>
      </c>
      <c r="D204" s="30" t="s">
        <v>624</v>
      </c>
      <c r="E204" s="30" t="s">
        <v>624</v>
      </c>
      <c r="F204" s="108"/>
      <c r="G204" s="123"/>
      <c r="H204" s="123"/>
      <c r="I204" s="123"/>
      <c r="J204" s="31"/>
      <c r="K204" s="31"/>
      <c r="L204" s="31"/>
    </row>
    <row r="205" spans="1:12" s="39" customFormat="1" ht="18">
      <c r="A205" s="74">
        <v>5</v>
      </c>
      <c r="B205" s="49" t="s">
        <v>170</v>
      </c>
      <c r="C205" s="67" t="s">
        <v>334</v>
      </c>
      <c r="D205" s="30" t="s">
        <v>590</v>
      </c>
      <c r="E205" s="30" t="s">
        <v>590</v>
      </c>
      <c r="F205" s="108" t="s">
        <v>632</v>
      </c>
      <c r="G205" s="123"/>
      <c r="H205" s="123"/>
      <c r="I205" s="123"/>
      <c r="J205" s="31"/>
      <c r="K205" s="31"/>
      <c r="L205" s="31"/>
    </row>
    <row r="206" spans="1:12" s="39" customFormat="1" ht="18">
      <c r="A206" s="74">
        <v>6</v>
      </c>
      <c r="B206" s="49" t="s">
        <v>171</v>
      </c>
      <c r="C206" s="67" t="s">
        <v>335</v>
      </c>
      <c r="D206" s="30" t="s">
        <v>625</v>
      </c>
      <c r="E206" s="30" t="s">
        <v>625</v>
      </c>
      <c r="F206" s="108"/>
      <c r="G206" s="123"/>
      <c r="H206" s="123"/>
      <c r="I206" s="123"/>
      <c r="J206" s="31"/>
      <c r="K206" s="31"/>
      <c r="L206" s="31"/>
    </row>
    <row r="207" spans="1:12" s="39" customFormat="1" ht="18">
      <c r="A207" s="74">
        <v>7</v>
      </c>
      <c r="B207" s="49" t="s">
        <v>179</v>
      </c>
      <c r="C207" s="67" t="s">
        <v>371</v>
      </c>
      <c r="D207" s="30" t="s">
        <v>591</v>
      </c>
      <c r="E207" s="30" t="s">
        <v>591</v>
      </c>
      <c r="F207" s="108" t="s">
        <v>632</v>
      </c>
      <c r="G207" s="123"/>
      <c r="H207" s="123"/>
      <c r="I207" s="123"/>
      <c r="J207" s="31"/>
      <c r="K207" s="31"/>
      <c r="L207" s="31"/>
    </row>
    <row r="208" spans="1:12" s="39" customFormat="1" ht="15.45" customHeight="1">
      <c r="A208" s="74">
        <v>8</v>
      </c>
      <c r="B208" s="49" t="s">
        <v>180</v>
      </c>
      <c r="C208" s="67" t="s">
        <v>372</v>
      </c>
      <c r="D208" s="30" t="s">
        <v>592</v>
      </c>
      <c r="E208" s="30" t="s">
        <v>592</v>
      </c>
      <c r="F208" s="108"/>
      <c r="G208" s="123"/>
      <c r="H208" s="123"/>
      <c r="I208" s="123"/>
      <c r="J208" s="31"/>
      <c r="K208" s="31"/>
      <c r="L208" s="31"/>
    </row>
    <row r="209" spans="1:12" s="39" customFormat="1" ht="18">
      <c r="A209" s="74">
        <v>9</v>
      </c>
      <c r="B209" s="49" t="s">
        <v>183</v>
      </c>
      <c r="C209" s="67" t="s">
        <v>373</v>
      </c>
      <c r="D209" s="30" t="s">
        <v>626</v>
      </c>
      <c r="E209" s="30" t="s">
        <v>626</v>
      </c>
      <c r="F209" s="108" t="s">
        <v>632</v>
      </c>
      <c r="G209" s="123"/>
      <c r="H209" s="123"/>
      <c r="I209" s="123"/>
      <c r="J209" s="31"/>
      <c r="K209" s="31"/>
      <c r="L209" s="31"/>
    </row>
    <row r="210" spans="1:12" s="39" customFormat="1" ht="18">
      <c r="A210" s="74">
        <v>10</v>
      </c>
      <c r="B210" s="49" t="s">
        <v>184</v>
      </c>
      <c r="C210" s="67" t="s">
        <v>374</v>
      </c>
      <c r="D210" s="30" t="s">
        <v>627</v>
      </c>
      <c r="E210" s="30" t="s">
        <v>627</v>
      </c>
      <c r="F210" s="108"/>
      <c r="G210" s="123"/>
      <c r="H210" s="123"/>
      <c r="I210" s="123"/>
      <c r="J210" s="31"/>
      <c r="K210" s="31"/>
      <c r="L210" s="31"/>
    </row>
    <row r="211" spans="1:12" s="39" customFormat="1" ht="18">
      <c r="A211" s="74">
        <v>11</v>
      </c>
      <c r="B211" s="49" t="s">
        <v>185</v>
      </c>
      <c r="C211" s="67" t="s">
        <v>375</v>
      </c>
      <c r="D211" s="30" t="s">
        <v>628</v>
      </c>
      <c r="E211" s="30" t="s">
        <v>628</v>
      </c>
      <c r="F211" s="108" t="s">
        <v>632</v>
      </c>
      <c r="G211" s="123"/>
      <c r="H211" s="123"/>
      <c r="I211" s="123"/>
      <c r="J211" s="31"/>
      <c r="K211" s="31"/>
      <c r="L211" s="31"/>
    </row>
    <row r="212" spans="1:12" s="39" customFormat="1" ht="18">
      <c r="A212" s="74">
        <v>12</v>
      </c>
      <c r="B212" s="49" t="s">
        <v>186</v>
      </c>
      <c r="C212" s="67" t="s">
        <v>376</v>
      </c>
      <c r="D212" s="30" t="s">
        <v>629</v>
      </c>
      <c r="E212" s="30" t="s">
        <v>629</v>
      </c>
      <c r="F212" s="108"/>
      <c r="G212" s="123"/>
      <c r="H212" s="123"/>
      <c r="I212" s="123"/>
      <c r="J212" s="31"/>
      <c r="K212" s="31"/>
      <c r="L212" s="31"/>
    </row>
    <row r="213" spans="1:12" s="39" customFormat="1" ht="18">
      <c r="A213" s="74">
        <v>13</v>
      </c>
      <c r="B213" s="49" t="s">
        <v>191</v>
      </c>
      <c r="C213" s="67" t="s">
        <v>383</v>
      </c>
      <c r="D213" s="30" t="s">
        <v>630</v>
      </c>
      <c r="E213" s="30" t="s">
        <v>630</v>
      </c>
      <c r="F213" s="108" t="s">
        <v>632</v>
      </c>
      <c r="G213" s="123"/>
      <c r="H213" s="123"/>
      <c r="I213" s="123"/>
      <c r="J213" s="31"/>
      <c r="K213" s="31"/>
      <c r="L213" s="31"/>
    </row>
    <row r="214" spans="1:12" s="39" customFormat="1" ht="18">
      <c r="A214" s="74">
        <v>14</v>
      </c>
      <c r="B214" s="49" t="s">
        <v>192</v>
      </c>
      <c r="C214" s="67" t="s">
        <v>384</v>
      </c>
      <c r="D214" s="30" t="s">
        <v>631</v>
      </c>
      <c r="E214" s="30" t="s">
        <v>631</v>
      </c>
      <c r="F214" s="108"/>
      <c r="G214" s="123"/>
      <c r="H214" s="123"/>
      <c r="I214" s="123"/>
      <c r="J214" s="31"/>
      <c r="K214" s="31"/>
      <c r="L214" s="31"/>
    </row>
    <row r="215" spans="1:12" s="39" customFormat="1" ht="18">
      <c r="A215" s="74">
        <v>15</v>
      </c>
      <c r="B215" s="49" t="s">
        <v>196</v>
      </c>
      <c r="C215" s="67" t="s">
        <v>387</v>
      </c>
      <c r="D215" s="30" t="s">
        <v>633</v>
      </c>
      <c r="E215" s="30" t="s">
        <v>633</v>
      </c>
      <c r="F215" s="108" t="s">
        <v>632</v>
      </c>
      <c r="G215" s="123"/>
      <c r="H215" s="123"/>
      <c r="I215" s="123"/>
      <c r="J215" s="31"/>
      <c r="K215" s="31"/>
      <c r="L215" s="31"/>
    </row>
    <row r="216" spans="1:12" s="39" customFormat="1" ht="18">
      <c r="A216" s="74">
        <v>16</v>
      </c>
      <c r="B216" s="49" t="s">
        <v>197</v>
      </c>
      <c r="C216" s="67" t="s">
        <v>388</v>
      </c>
      <c r="D216" s="30" t="s">
        <v>634</v>
      </c>
      <c r="E216" s="30" t="s">
        <v>634</v>
      </c>
      <c r="F216" s="108"/>
      <c r="G216" s="123"/>
      <c r="H216" s="123"/>
      <c r="I216" s="123"/>
      <c r="J216" s="31"/>
      <c r="K216" s="31"/>
      <c r="L216" s="31"/>
    </row>
    <row r="217" spans="1:12" s="39" customFormat="1" ht="18">
      <c r="A217" s="74">
        <v>17</v>
      </c>
      <c r="B217" s="49" t="s">
        <v>198</v>
      </c>
      <c r="C217" s="67" t="s">
        <v>389</v>
      </c>
      <c r="D217" s="30" t="s">
        <v>635</v>
      </c>
      <c r="E217" s="30" t="s">
        <v>635</v>
      </c>
      <c r="F217" s="108" t="s">
        <v>632</v>
      </c>
      <c r="G217" s="123"/>
      <c r="H217" s="123"/>
      <c r="I217" s="123"/>
      <c r="J217" s="31"/>
      <c r="K217" s="31"/>
      <c r="L217" s="31"/>
    </row>
    <row r="218" spans="1:12" s="39" customFormat="1" ht="18">
      <c r="A218" s="74">
        <v>18</v>
      </c>
      <c r="B218" s="49" t="s">
        <v>199</v>
      </c>
      <c r="C218" s="67" t="s">
        <v>390</v>
      </c>
      <c r="D218" s="30" t="s">
        <v>636</v>
      </c>
      <c r="E218" s="30" t="s">
        <v>636</v>
      </c>
      <c r="F218" s="108"/>
      <c r="G218" s="123"/>
      <c r="H218" s="123"/>
      <c r="I218" s="123"/>
      <c r="J218" s="31"/>
      <c r="K218" s="31"/>
      <c r="L218" s="31"/>
    </row>
    <row r="219" spans="1:12" s="39" customFormat="1" ht="18">
      <c r="A219" s="74">
        <v>19</v>
      </c>
      <c r="B219" s="49" t="s">
        <v>193</v>
      </c>
      <c r="C219" s="67" t="s">
        <v>385</v>
      </c>
      <c r="D219" s="30" t="s">
        <v>637</v>
      </c>
      <c r="E219" s="30" t="s">
        <v>637</v>
      </c>
      <c r="F219" s="108" t="s">
        <v>632</v>
      </c>
      <c r="G219" s="123"/>
      <c r="H219" s="123"/>
      <c r="I219" s="123"/>
      <c r="J219" s="31"/>
      <c r="K219" s="31"/>
      <c r="L219" s="31"/>
    </row>
    <row r="220" spans="1:12" s="39" customFormat="1" ht="18">
      <c r="A220" s="74">
        <v>20</v>
      </c>
      <c r="B220" s="49" t="s">
        <v>194</v>
      </c>
      <c r="C220" s="67" t="s">
        <v>386</v>
      </c>
      <c r="D220" s="30" t="s">
        <v>638</v>
      </c>
      <c r="E220" s="30" t="s">
        <v>638</v>
      </c>
      <c r="F220" s="108"/>
      <c r="G220" s="123"/>
      <c r="H220" s="123"/>
      <c r="I220" s="123"/>
      <c r="J220" s="31"/>
      <c r="K220" s="31"/>
      <c r="L220" s="31"/>
    </row>
    <row r="221" spans="1:12" s="39" customFormat="1" ht="18">
      <c r="A221" s="74">
        <v>21</v>
      </c>
      <c r="B221" s="49" t="s">
        <v>172</v>
      </c>
      <c r="C221" s="67" t="s">
        <v>343</v>
      </c>
      <c r="D221" s="30" t="s">
        <v>639</v>
      </c>
      <c r="E221" s="30" t="s">
        <v>639</v>
      </c>
      <c r="F221" s="108" t="s">
        <v>632</v>
      </c>
      <c r="G221" s="123"/>
      <c r="H221" s="123"/>
      <c r="I221" s="123"/>
      <c r="J221" s="31"/>
      <c r="K221" s="31"/>
      <c r="L221" s="31"/>
    </row>
    <row r="222" spans="1:12" s="39" customFormat="1" ht="18">
      <c r="A222" s="74">
        <v>22</v>
      </c>
      <c r="B222" s="49" t="s">
        <v>173</v>
      </c>
      <c r="C222" s="67" t="s">
        <v>344</v>
      </c>
      <c r="D222" s="30" t="s">
        <v>640</v>
      </c>
      <c r="E222" s="30" t="s">
        <v>640</v>
      </c>
      <c r="F222" s="108"/>
      <c r="G222" s="123"/>
      <c r="H222" s="123"/>
      <c r="I222" s="123"/>
      <c r="J222" s="31"/>
      <c r="K222" s="31"/>
      <c r="L222" s="31"/>
    </row>
    <row r="223" spans="1:12" s="39" customFormat="1" ht="18">
      <c r="A223" s="74">
        <v>23</v>
      </c>
      <c r="B223" s="49" t="s">
        <v>181</v>
      </c>
      <c r="C223" s="67" t="s">
        <v>606</v>
      </c>
      <c r="D223" s="30" t="s">
        <v>641</v>
      </c>
      <c r="E223" s="30" t="s">
        <v>641</v>
      </c>
      <c r="F223" s="108" t="s">
        <v>632</v>
      </c>
      <c r="G223" s="123"/>
      <c r="H223" s="123"/>
      <c r="I223" s="123"/>
      <c r="J223" s="31"/>
      <c r="K223" s="31"/>
      <c r="L223" s="31"/>
    </row>
    <row r="224" spans="1:12" s="39" customFormat="1" ht="18">
      <c r="A224" s="74">
        <v>24</v>
      </c>
      <c r="B224" s="49" t="s">
        <v>182</v>
      </c>
      <c r="C224" s="67" t="s">
        <v>607</v>
      </c>
      <c r="D224" s="30" t="s">
        <v>642</v>
      </c>
      <c r="E224" s="30" t="s">
        <v>642</v>
      </c>
      <c r="F224" s="108"/>
      <c r="G224" s="123"/>
      <c r="H224" s="123"/>
      <c r="I224" s="123"/>
      <c r="J224" s="31"/>
      <c r="K224" s="31"/>
      <c r="L224" s="31"/>
    </row>
    <row r="225" spans="1:12" s="39" customFormat="1" ht="18">
      <c r="A225" s="74">
        <v>25</v>
      </c>
      <c r="B225" s="49" t="s">
        <v>159</v>
      </c>
      <c r="C225" s="49" t="s">
        <v>159</v>
      </c>
      <c r="D225" s="30" t="s">
        <v>658</v>
      </c>
      <c r="E225" s="30" t="s">
        <v>658</v>
      </c>
      <c r="F225" s="30"/>
      <c r="G225" s="79"/>
      <c r="H225" s="79"/>
      <c r="I225" s="79"/>
      <c r="J225" s="31"/>
      <c r="K225" s="31"/>
      <c r="L225" s="31"/>
    </row>
    <row r="226" spans="1:12" s="39" customFormat="1" ht="18">
      <c r="A226" s="74">
        <v>26</v>
      </c>
      <c r="B226" s="49" t="s">
        <v>159</v>
      </c>
      <c r="C226" s="49" t="s">
        <v>159</v>
      </c>
      <c r="D226" s="30" t="s">
        <v>659</v>
      </c>
      <c r="E226" s="30" t="s">
        <v>659</v>
      </c>
      <c r="F226" s="30"/>
      <c r="G226" s="79"/>
      <c r="H226" s="79"/>
      <c r="I226" s="79"/>
      <c r="J226" s="31"/>
      <c r="K226" s="31"/>
      <c r="L226" s="31"/>
    </row>
    <row r="227" spans="1:12" s="39" customFormat="1" ht="18">
      <c r="A227" s="74">
        <v>27</v>
      </c>
      <c r="B227" s="49" t="s">
        <v>159</v>
      </c>
      <c r="C227" s="49" t="s">
        <v>159</v>
      </c>
      <c r="D227" s="30" t="s">
        <v>660</v>
      </c>
      <c r="E227" s="30" t="s">
        <v>660</v>
      </c>
      <c r="F227" s="30"/>
      <c r="G227" s="79"/>
      <c r="H227" s="79"/>
      <c r="I227" s="79"/>
      <c r="J227" s="31"/>
      <c r="K227" s="31"/>
      <c r="L227" s="31"/>
    </row>
    <row r="228" spans="1:12" s="39" customFormat="1" ht="18">
      <c r="A228" s="74">
        <v>28</v>
      </c>
      <c r="B228" s="49" t="s">
        <v>159</v>
      </c>
      <c r="C228" s="49" t="s">
        <v>159</v>
      </c>
      <c r="D228" s="30" t="s">
        <v>661</v>
      </c>
      <c r="E228" s="30" t="s">
        <v>661</v>
      </c>
      <c r="F228" s="30"/>
      <c r="G228" s="79"/>
      <c r="H228" s="79"/>
      <c r="I228" s="79"/>
      <c r="J228" s="31"/>
      <c r="K228" s="31"/>
      <c r="L228" s="31"/>
    </row>
    <row r="229" spans="1:12" s="39" customFormat="1" ht="18">
      <c r="A229" s="74">
        <v>29</v>
      </c>
      <c r="B229" s="49" t="s">
        <v>159</v>
      </c>
      <c r="C229" s="49" t="s">
        <v>159</v>
      </c>
      <c r="D229" s="30" t="s">
        <v>662</v>
      </c>
      <c r="E229" s="30" t="s">
        <v>662</v>
      </c>
      <c r="F229" s="30"/>
      <c r="G229" s="79"/>
      <c r="H229" s="79"/>
      <c r="I229" s="79"/>
      <c r="J229" s="31"/>
      <c r="K229" s="31"/>
      <c r="L229" s="31"/>
    </row>
    <row r="230" spans="1:12" s="39" customFormat="1" ht="18">
      <c r="A230" s="74">
        <v>30</v>
      </c>
      <c r="B230" s="49" t="s">
        <v>159</v>
      </c>
      <c r="C230" s="49" t="s">
        <v>159</v>
      </c>
      <c r="D230" s="30" t="s">
        <v>663</v>
      </c>
      <c r="E230" s="30" t="s">
        <v>663</v>
      </c>
      <c r="F230" s="30"/>
      <c r="G230" s="79"/>
      <c r="H230" s="79"/>
      <c r="I230" s="79"/>
      <c r="J230" s="31"/>
      <c r="K230" s="31"/>
      <c r="L230" s="31"/>
    </row>
    <row r="231" spans="1:12" s="39" customFormat="1" ht="18">
      <c r="A231" s="74">
        <v>31</v>
      </c>
      <c r="B231" s="49" t="s">
        <v>159</v>
      </c>
      <c r="C231" s="49" t="s">
        <v>159</v>
      </c>
      <c r="D231" s="30" t="s">
        <v>664</v>
      </c>
      <c r="E231" s="30" t="s">
        <v>664</v>
      </c>
      <c r="F231" s="30"/>
      <c r="G231" s="79"/>
      <c r="H231" s="79"/>
      <c r="I231" s="79"/>
      <c r="J231" s="31"/>
      <c r="K231" s="31"/>
      <c r="L231" s="31"/>
    </row>
    <row r="232" spans="1:12" s="39" customFormat="1" ht="18">
      <c r="A232" s="74">
        <v>32</v>
      </c>
      <c r="B232" s="49" t="s">
        <v>159</v>
      </c>
      <c r="C232" s="49" t="s">
        <v>159</v>
      </c>
      <c r="D232" s="30" t="s">
        <v>665</v>
      </c>
      <c r="E232" s="30" t="s">
        <v>665</v>
      </c>
      <c r="F232" s="30"/>
      <c r="G232" s="79"/>
      <c r="H232" s="79"/>
      <c r="I232" s="79"/>
      <c r="J232" s="31"/>
      <c r="K232" s="31"/>
      <c r="L232" s="31"/>
    </row>
    <row r="233" spans="1:12" s="39" customFormat="1">
      <c r="E233" s="31"/>
      <c r="F233" s="31"/>
      <c r="G233" s="31"/>
      <c r="H233" s="31"/>
      <c r="I233" s="31"/>
      <c r="J233" s="31"/>
      <c r="K233" s="31"/>
      <c r="L233" s="31"/>
    </row>
    <row r="234" spans="1:12" s="39" customFormat="1">
      <c r="E234" s="31"/>
      <c r="F234" s="31"/>
      <c r="G234" s="31"/>
      <c r="H234" s="31"/>
      <c r="I234" s="31"/>
      <c r="J234" s="31"/>
      <c r="K234" s="31"/>
      <c r="L234" s="31"/>
    </row>
    <row r="235" spans="1:12" s="39" customFormat="1" ht="17.399999999999999">
      <c r="A235" s="122" t="s">
        <v>646</v>
      </c>
      <c r="B235" s="122"/>
      <c r="C235" s="122"/>
      <c r="D235" s="122"/>
      <c r="E235" s="122"/>
      <c r="F235" s="122"/>
      <c r="G235" s="122"/>
      <c r="H235" s="122"/>
      <c r="I235" s="122"/>
      <c r="J235" s="31"/>
      <c r="K235" s="31"/>
      <c r="L235" s="31"/>
    </row>
    <row r="236" spans="1:12" s="39" customFormat="1" ht="31.2">
      <c r="A236" s="23" t="s">
        <v>19</v>
      </c>
      <c r="B236" s="24" t="s">
        <v>20</v>
      </c>
      <c r="C236" s="24" t="s">
        <v>30</v>
      </c>
      <c r="D236" s="23" t="s">
        <v>21</v>
      </c>
      <c r="E236" s="23" t="s">
        <v>22</v>
      </c>
      <c r="F236" s="23" t="s">
        <v>541</v>
      </c>
      <c r="G236" s="11" t="s">
        <v>24</v>
      </c>
      <c r="H236" s="23" t="s">
        <v>25</v>
      </c>
      <c r="I236" s="7" t="s">
        <v>26</v>
      </c>
      <c r="J236" s="31"/>
      <c r="K236" s="31"/>
      <c r="L236" s="31"/>
    </row>
    <row r="237" spans="1:12" s="39" customFormat="1" ht="18" customHeight="1">
      <c r="A237" s="74">
        <v>1</v>
      </c>
      <c r="B237" s="49" t="s">
        <v>643</v>
      </c>
      <c r="C237" s="49" t="s">
        <v>652</v>
      </c>
      <c r="D237" s="27" t="s">
        <v>593</v>
      </c>
      <c r="E237" s="27" t="s">
        <v>593</v>
      </c>
      <c r="F237" s="27" t="s">
        <v>688</v>
      </c>
      <c r="G237" s="105" t="s">
        <v>558</v>
      </c>
      <c r="H237" s="105" t="s">
        <v>542</v>
      </c>
      <c r="I237" s="105" t="s">
        <v>543</v>
      </c>
      <c r="J237" s="31"/>
      <c r="K237" s="31"/>
      <c r="L237" s="31"/>
    </row>
    <row r="238" spans="1:12" s="39" customFormat="1" ht="18">
      <c r="A238" s="74">
        <v>2</v>
      </c>
      <c r="B238" s="49" t="s">
        <v>680</v>
      </c>
      <c r="C238" s="49" t="s">
        <v>684</v>
      </c>
      <c r="D238" s="27" t="s">
        <v>647</v>
      </c>
      <c r="E238" s="27" t="s">
        <v>647</v>
      </c>
      <c r="F238" s="27" t="s">
        <v>687</v>
      </c>
      <c r="G238" s="106"/>
      <c r="H238" s="106"/>
      <c r="I238" s="106"/>
      <c r="J238" s="31"/>
      <c r="K238" s="31"/>
      <c r="L238" s="31"/>
    </row>
    <row r="239" spans="1:12" s="39" customFormat="1" ht="18">
      <c r="A239" s="74">
        <v>3</v>
      </c>
      <c r="B239" s="49" t="s">
        <v>644</v>
      </c>
      <c r="C239" s="49" t="s">
        <v>653</v>
      </c>
      <c r="D239" s="27" t="s">
        <v>594</v>
      </c>
      <c r="E239" s="27" t="s">
        <v>594</v>
      </c>
      <c r="F239" s="27" t="s">
        <v>688</v>
      </c>
      <c r="G239" s="106"/>
      <c r="H239" s="106"/>
      <c r="I239" s="106"/>
      <c r="J239" s="31"/>
      <c r="K239" s="31"/>
      <c r="L239" s="31"/>
    </row>
    <row r="240" spans="1:12" s="39" customFormat="1" ht="18">
      <c r="A240" s="74">
        <v>4</v>
      </c>
      <c r="B240" s="49" t="s">
        <v>681</v>
      </c>
      <c r="C240" s="49" t="s">
        <v>685</v>
      </c>
      <c r="D240" s="27" t="s">
        <v>648</v>
      </c>
      <c r="E240" s="27" t="s">
        <v>648</v>
      </c>
      <c r="F240" s="27" t="s">
        <v>687</v>
      </c>
      <c r="G240" s="106"/>
      <c r="H240" s="106"/>
      <c r="I240" s="106"/>
      <c r="J240" s="31"/>
      <c r="K240" s="31"/>
      <c r="L240" s="31"/>
    </row>
    <row r="241" spans="1:12" s="39" customFormat="1" ht="18">
      <c r="A241" s="74">
        <v>5</v>
      </c>
      <c r="B241" s="49" t="s">
        <v>645</v>
      </c>
      <c r="C241" s="49" t="s">
        <v>654</v>
      </c>
      <c r="D241" s="27" t="s">
        <v>595</v>
      </c>
      <c r="E241" s="27" t="s">
        <v>595</v>
      </c>
      <c r="F241" s="27" t="s">
        <v>688</v>
      </c>
      <c r="G241" s="106"/>
      <c r="H241" s="106"/>
      <c r="I241" s="106"/>
      <c r="J241" s="31"/>
      <c r="K241" s="31"/>
      <c r="L241" s="31"/>
    </row>
    <row r="242" spans="1:12" s="39" customFormat="1" ht="18">
      <c r="A242" s="74">
        <v>6</v>
      </c>
      <c r="B242" s="49" t="s">
        <v>682</v>
      </c>
      <c r="C242" s="49" t="s">
        <v>686</v>
      </c>
      <c r="D242" s="27" t="s">
        <v>649</v>
      </c>
      <c r="E242" s="27" t="s">
        <v>649</v>
      </c>
      <c r="F242" s="27" t="s">
        <v>687</v>
      </c>
      <c r="G242" s="106"/>
      <c r="H242" s="106"/>
      <c r="I242" s="106"/>
      <c r="J242" s="31"/>
      <c r="K242" s="31"/>
      <c r="L242" s="31"/>
    </row>
    <row r="243" spans="1:12" s="39" customFormat="1" ht="18">
      <c r="A243" s="74">
        <v>7</v>
      </c>
      <c r="B243" s="49" t="s">
        <v>683</v>
      </c>
      <c r="C243" s="49" t="s">
        <v>679</v>
      </c>
      <c r="D243" s="27" t="s">
        <v>677</v>
      </c>
      <c r="E243" s="27" t="s">
        <v>677</v>
      </c>
      <c r="F243" s="27" t="s">
        <v>688</v>
      </c>
      <c r="G243" s="106"/>
      <c r="H243" s="106"/>
      <c r="I243" s="106"/>
      <c r="J243" s="31"/>
      <c r="K243" s="31"/>
      <c r="L243" s="31"/>
    </row>
    <row r="244" spans="1:12" s="39" customFormat="1" ht="18">
      <c r="A244" s="74">
        <v>8</v>
      </c>
      <c r="B244" s="94" t="s">
        <v>611</v>
      </c>
      <c r="C244" s="94" t="s">
        <v>611</v>
      </c>
      <c r="D244" s="27" t="s">
        <v>678</v>
      </c>
      <c r="E244" s="27" t="s">
        <v>678</v>
      </c>
      <c r="F244" s="27" t="s">
        <v>687</v>
      </c>
      <c r="G244" s="107"/>
      <c r="H244" s="107"/>
      <c r="I244" s="107"/>
      <c r="J244" s="31"/>
      <c r="K244" s="31"/>
      <c r="L244" s="31"/>
    </row>
    <row r="245" spans="1:12" s="39" customFormat="1" ht="18">
      <c r="A245" s="74">
        <v>9</v>
      </c>
      <c r="B245" s="49" t="s">
        <v>159</v>
      </c>
      <c r="C245" s="49" t="s">
        <v>159</v>
      </c>
      <c r="D245" s="27"/>
      <c r="E245" s="27"/>
      <c r="F245" s="27"/>
      <c r="G245" s="81"/>
      <c r="H245" s="79"/>
      <c r="I245" s="81"/>
      <c r="J245" s="31"/>
      <c r="K245" s="31"/>
      <c r="L245" s="31"/>
    </row>
    <row r="246" spans="1:12" s="39" customFormat="1" ht="18">
      <c r="A246" s="74">
        <v>10</v>
      </c>
      <c r="B246" s="49" t="s">
        <v>159</v>
      </c>
      <c r="C246" s="49" t="s">
        <v>159</v>
      </c>
      <c r="D246" s="27"/>
      <c r="E246" s="27"/>
      <c r="F246" s="27"/>
      <c r="G246" s="81"/>
      <c r="H246" s="79"/>
      <c r="I246" s="81"/>
      <c r="J246" s="31"/>
      <c r="K246" s="31"/>
      <c r="L246" s="31"/>
    </row>
    <row r="247" spans="1:12" s="39" customFormat="1" ht="18">
      <c r="A247" s="74">
        <v>11</v>
      </c>
      <c r="B247" s="49" t="s">
        <v>159</v>
      </c>
      <c r="C247" s="49" t="s">
        <v>159</v>
      </c>
      <c r="D247" s="27"/>
      <c r="E247" s="27"/>
      <c r="F247" s="27"/>
      <c r="G247" s="81"/>
      <c r="H247" s="79"/>
      <c r="I247" s="81"/>
      <c r="J247" s="31"/>
      <c r="K247" s="31"/>
      <c r="L247" s="31"/>
    </row>
    <row r="248" spans="1:12" s="39" customFormat="1" ht="18">
      <c r="A248" s="74">
        <v>12</v>
      </c>
      <c r="B248" s="49" t="s">
        <v>159</v>
      </c>
      <c r="C248" s="49" t="s">
        <v>159</v>
      </c>
      <c r="D248" s="27"/>
      <c r="E248" s="27"/>
      <c r="F248" s="27"/>
      <c r="G248" s="81"/>
      <c r="H248" s="79"/>
      <c r="I248" s="81"/>
      <c r="J248" s="31"/>
      <c r="K248" s="31"/>
      <c r="L248" s="31"/>
    </row>
    <row r="249" spans="1:12" s="39" customFormat="1" ht="18">
      <c r="A249" s="74">
        <v>13</v>
      </c>
      <c r="B249" s="49" t="s">
        <v>159</v>
      </c>
      <c r="C249" s="49" t="s">
        <v>159</v>
      </c>
      <c r="D249" s="27"/>
      <c r="E249" s="27"/>
      <c r="F249" s="27"/>
      <c r="G249" s="81"/>
      <c r="H249" s="79"/>
      <c r="I249" s="81"/>
      <c r="J249" s="31"/>
      <c r="K249" s="31"/>
      <c r="L249" s="31"/>
    </row>
    <row r="250" spans="1:12" s="39" customFormat="1" ht="18">
      <c r="A250" s="74">
        <v>14</v>
      </c>
      <c r="B250" s="49" t="s">
        <v>159</v>
      </c>
      <c r="C250" s="49" t="s">
        <v>159</v>
      </c>
      <c r="D250" s="27"/>
      <c r="E250" s="27"/>
      <c r="F250" s="27"/>
      <c r="G250" s="81"/>
      <c r="H250" s="79"/>
      <c r="I250" s="81"/>
      <c r="J250" s="31"/>
      <c r="K250" s="31"/>
      <c r="L250" s="31"/>
    </row>
    <row r="251" spans="1:12" s="39" customFormat="1" ht="18">
      <c r="A251" s="74">
        <v>15</v>
      </c>
      <c r="B251" s="49" t="s">
        <v>159</v>
      </c>
      <c r="C251" s="49" t="s">
        <v>159</v>
      </c>
      <c r="D251" s="27"/>
      <c r="E251" s="27"/>
      <c r="F251" s="27"/>
      <c r="G251" s="81"/>
      <c r="H251" s="79"/>
      <c r="I251" s="81"/>
      <c r="J251" s="31"/>
      <c r="K251" s="31"/>
      <c r="L251" s="31"/>
    </row>
    <row r="252" spans="1:12" s="39" customFormat="1" ht="18">
      <c r="A252" s="74">
        <v>16</v>
      </c>
      <c r="B252" s="49" t="s">
        <v>159</v>
      </c>
      <c r="C252" s="49" t="s">
        <v>159</v>
      </c>
      <c r="D252" s="27"/>
      <c r="E252" s="27"/>
      <c r="F252" s="27"/>
      <c r="G252" s="81"/>
      <c r="H252" s="79"/>
      <c r="I252" s="81"/>
      <c r="J252" s="31"/>
      <c r="K252" s="31"/>
      <c r="L252" s="31"/>
    </row>
    <row r="253" spans="1:12" s="39" customFormat="1" ht="18">
      <c r="A253" s="74">
        <v>17</v>
      </c>
      <c r="B253" s="49" t="s">
        <v>159</v>
      </c>
      <c r="C253" s="49" t="s">
        <v>159</v>
      </c>
      <c r="D253" s="27"/>
      <c r="E253" s="27"/>
      <c r="F253" s="27"/>
      <c r="G253" s="81"/>
      <c r="H253" s="79"/>
      <c r="I253" s="81"/>
      <c r="J253" s="31"/>
      <c r="K253" s="31"/>
      <c r="L253" s="31"/>
    </row>
    <row r="254" spans="1:12" s="39" customFormat="1" ht="18">
      <c r="A254" s="74">
        <v>18</v>
      </c>
      <c r="B254" s="49" t="s">
        <v>159</v>
      </c>
      <c r="C254" s="49" t="s">
        <v>159</v>
      </c>
      <c r="D254" s="27"/>
      <c r="E254" s="27"/>
      <c r="F254" s="27"/>
      <c r="G254" s="81"/>
      <c r="H254" s="79"/>
      <c r="I254" s="81"/>
      <c r="J254" s="31"/>
      <c r="K254" s="31"/>
      <c r="L254" s="31"/>
    </row>
    <row r="255" spans="1:12" s="39" customFormat="1" ht="18">
      <c r="A255" s="74">
        <v>19</v>
      </c>
      <c r="B255" s="49" t="s">
        <v>159</v>
      </c>
      <c r="C255" s="49" t="s">
        <v>159</v>
      </c>
      <c r="D255" s="27"/>
      <c r="E255" s="27"/>
      <c r="F255" s="27"/>
      <c r="G255" s="81"/>
      <c r="H255" s="79"/>
      <c r="I255" s="81"/>
      <c r="J255" s="31"/>
      <c r="K255" s="31"/>
      <c r="L255" s="31"/>
    </row>
    <row r="256" spans="1:12" s="39" customFormat="1" ht="18">
      <c r="A256" s="74">
        <v>20</v>
      </c>
      <c r="B256" s="49" t="s">
        <v>159</v>
      </c>
      <c r="C256" s="49" t="s">
        <v>159</v>
      </c>
      <c r="D256" s="27"/>
      <c r="E256" s="27"/>
      <c r="F256" s="27"/>
      <c r="G256" s="81"/>
      <c r="H256" s="79"/>
      <c r="I256" s="81"/>
      <c r="J256" s="31"/>
      <c r="K256" s="31"/>
      <c r="L256" s="31"/>
    </row>
    <row r="257" spans="1:12" s="39" customFormat="1" ht="18">
      <c r="A257" s="74">
        <v>21</v>
      </c>
      <c r="B257" s="49" t="s">
        <v>159</v>
      </c>
      <c r="C257" s="49" t="s">
        <v>159</v>
      </c>
      <c r="D257" s="27"/>
      <c r="E257" s="27"/>
      <c r="F257" s="27"/>
      <c r="G257" s="81"/>
      <c r="H257" s="79"/>
      <c r="I257" s="81"/>
      <c r="J257" s="31"/>
      <c r="K257" s="31"/>
      <c r="L257" s="31"/>
    </row>
    <row r="258" spans="1:12" s="39" customFormat="1" ht="18">
      <c r="A258" s="74">
        <v>22</v>
      </c>
      <c r="B258" s="49" t="s">
        <v>159</v>
      </c>
      <c r="C258" s="49" t="s">
        <v>159</v>
      </c>
      <c r="D258" s="27"/>
      <c r="E258" s="27"/>
      <c r="F258" s="27"/>
      <c r="G258" s="81"/>
      <c r="H258" s="79"/>
      <c r="I258" s="81"/>
      <c r="J258" s="31"/>
      <c r="K258" s="31"/>
      <c r="L258" s="31"/>
    </row>
    <row r="259" spans="1:12" s="39" customFormat="1" ht="18">
      <c r="A259" s="74">
        <v>23</v>
      </c>
      <c r="B259" s="49" t="s">
        <v>159</v>
      </c>
      <c r="C259" s="49" t="s">
        <v>159</v>
      </c>
      <c r="D259" s="27"/>
      <c r="E259" s="27"/>
      <c r="F259" s="27"/>
      <c r="G259" s="81"/>
      <c r="H259" s="79"/>
      <c r="I259" s="81"/>
      <c r="J259" s="31"/>
      <c r="K259" s="31"/>
      <c r="L259" s="31"/>
    </row>
    <row r="260" spans="1:12" s="39" customFormat="1" ht="18">
      <c r="A260" s="74">
        <v>24</v>
      </c>
      <c r="B260" s="49" t="s">
        <v>159</v>
      </c>
      <c r="C260" s="49" t="s">
        <v>159</v>
      </c>
      <c r="D260" s="27"/>
      <c r="E260" s="27"/>
      <c r="F260" s="27"/>
      <c r="G260" s="81"/>
      <c r="H260" s="79"/>
      <c r="I260" s="81"/>
      <c r="J260" s="31"/>
      <c r="K260" s="31"/>
      <c r="L260" s="31"/>
    </row>
    <row r="261" spans="1:12" s="39" customFormat="1" ht="18">
      <c r="A261" s="74">
        <v>25</v>
      </c>
      <c r="B261" s="49" t="s">
        <v>159</v>
      </c>
      <c r="C261" s="49" t="s">
        <v>159</v>
      </c>
      <c r="D261" s="27"/>
      <c r="E261" s="27"/>
      <c r="F261" s="27"/>
      <c r="G261" s="81"/>
      <c r="H261" s="79"/>
      <c r="I261" s="81"/>
      <c r="J261" s="31"/>
      <c r="K261" s="31"/>
      <c r="L261" s="31"/>
    </row>
    <row r="262" spans="1:12" s="39" customFormat="1" ht="18">
      <c r="A262" s="74">
        <v>26</v>
      </c>
      <c r="B262" s="49" t="s">
        <v>159</v>
      </c>
      <c r="C262" s="49" t="s">
        <v>159</v>
      </c>
      <c r="D262" s="27"/>
      <c r="E262" s="27"/>
      <c r="F262" s="27"/>
      <c r="G262" s="81"/>
      <c r="H262" s="79"/>
      <c r="I262" s="81"/>
      <c r="J262" s="31"/>
      <c r="K262" s="31"/>
      <c r="L262" s="31"/>
    </row>
    <row r="263" spans="1:12" s="39" customFormat="1" ht="18">
      <c r="A263" s="74">
        <v>27</v>
      </c>
      <c r="B263" s="49" t="s">
        <v>159</v>
      </c>
      <c r="C263" s="49" t="s">
        <v>159</v>
      </c>
      <c r="D263" s="27"/>
      <c r="E263" s="27"/>
      <c r="F263" s="27"/>
      <c r="G263" s="81"/>
      <c r="H263" s="79"/>
      <c r="I263" s="81"/>
      <c r="J263" s="31"/>
      <c r="K263" s="31"/>
      <c r="L263" s="31"/>
    </row>
    <row r="264" spans="1:12" s="39" customFormat="1" ht="18">
      <c r="A264" s="74">
        <v>28</v>
      </c>
      <c r="B264" s="49" t="s">
        <v>159</v>
      </c>
      <c r="C264" s="49" t="s">
        <v>159</v>
      </c>
      <c r="D264" s="27"/>
      <c r="E264" s="27"/>
      <c r="F264" s="27"/>
      <c r="G264" s="81"/>
      <c r="H264" s="79"/>
      <c r="I264" s="81"/>
      <c r="J264" s="31"/>
      <c r="K264" s="31"/>
      <c r="L264" s="31"/>
    </row>
    <row r="265" spans="1:12" s="39" customFormat="1" ht="18">
      <c r="A265" s="74">
        <v>29</v>
      </c>
      <c r="B265" s="49" t="s">
        <v>159</v>
      </c>
      <c r="C265" s="49" t="s">
        <v>159</v>
      </c>
      <c r="D265" s="27"/>
      <c r="E265" s="27"/>
      <c r="F265" s="27"/>
      <c r="G265" s="81"/>
      <c r="H265" s="79"/>
      <c r="I265" s="81"/>
      <c r="J265" s="31"/>
      <c r="K265" s="31"/>
      <c r="L265" s="31"/>
    </row>
    <row r="266" spans="1:12" s="39" customFormat="1" ht="18">
      <c r="A266" s="74">
        <v>30</v>
      </c>
      <c r="B266" s="49" t="s">
        <v>159</v>
      </c>
      <c r="C266" s="49" t="s">
        <v>159</v>
      </c>
      <c r="D266" s="27"/>
      <c r="E266" s="27"/>
      <c r="F266" s="27"/>
      <c r="G266" s="81"/>
      <c r="H266" s="79"/>
      <c r="I266" s="81"/>
      <c r="J266" s="31"/>
      <c r="K266" s="31"/>
      <c r="L266" s="31"/>
    </row>
    <row r="267" spans="1:12" s="39" customFormat="1" ht="18">
      <c r="A267" s="74">
        <v>31</v>
      </c>
      <c r="B267" s="49" t="s">
        <v>159</v>
      </c>
      <c r="C267" s="49" t="s">
        <v>159</v>
      </c>
      <c r="D267" s="27"/>
      <c r="E267" s="27"/>
      <c r="F267" s="27"/>
      <c r="G267" s="81"/>
      <c r="H267" s="79"/>
      <c r="I267" s="81"/>
      <c r="J267" s="31"/>
      <c r="K267" s="31"/>
      <c r="L267" s="31"/>
    </row>
    <row r="268" spans="1:12" s="39" customFormat="1" ht="18">
      <c r="A268" s="74">
        <v>32</v>
      </c>
      <c r="B268" s="49" t="s">
        <v>159</v>
      </c>
      <c r="C268" s="49" t="s">
        <v>159</v>
      </c>
      <c r="D268" s="27"/>
      <c r="E268" s="27"/>
      <c r="F268" s="27"/>
      <c r="G268" s="81"/>
      <c r="H268" s="79"/>
      <c r="I268" s="81"/>
      <c r="J268" s="31"/>
      <c r="K268" s="31"/>
      <c r="L268" s="31"/>
    </row>
    <row r="269" spans="1:12" s="39" customFormat="1">
      <c r="A269" s="80"/>
      <c r="E269" s="31"/>
      <c r="F269" s="31"/>
      <c r="G269" s="31"/>
      <c r="H269" s="31"/>
      <c r="I269" s="31"/>
      <c r="J269" s="31"/>
      <c r="K269" s="31"/>
      <c r="L269" s="31"/>
    </row>
    <row r="270" spans="1:12" s="39" customFormat="1">
      <c r="E270" s="31"/>
      <c r="F270" s="31"/>
      <c r="G270" s="31"/>
      <c r="H270" s="31"/>
      <c r="I270" s="31"/>
      <c r="J270" s="31"/>
      <c r="K270" s="31"/>
      <c r="L270" s="31"/>
    </row>
    <row r="271" spans="1:12" s="39" customFormat="1">
      <c r="E271" s="31"/>
      <c r="F271" s="31"/>
      <c r="G271" s="31"/>
      <c r="H271" s="31"/>
      <c r="I271" s="31"/>
      <c r="J271" s="31"/>
      <c r="K271" s="31"/>
      <c r="L271" s="31"/>
    </row>
    <row r="272" spans="1:12" s="39" customFormat="1" ht="18">
      <c r="B272" s="75"/>
      <c r="E272" s="31"/>
      <c r="F272" s="31"/>
      <c r="G272" s="31"/>
      <c r="H272" s="31"/>
      <c r="I272" s="31"/>
      <c r="J272" s="31"/>
      <c r="K272" s="31"/>
      <c r="L272" s="31"/>
    </row>
    <row r="273" spans="1:12" s="39" customFormat="1" ht="18">
      <c r="B273" s="75"/>
      <c r="E273" s="31"/>
      <c r="F273" s="31"/>
      <c r="G273" s="31"/>
      <c r="H273" s="31"/>
      <c r="I273" s="31"/>
      <c r="J273" s="31"/>
      <c r="K273" s="31"/>
      <c r="L273" s="31"/>
    </row>
    <row r="274" spans="1:12" s="39" customFormat="1">
      <c r="E274" s="31"/>
      <c r="F274" s="31"/>
      <c r="G274" s="31"/>
      <c r="H274" s="31"/>
      <c r="I274" s="31"/>
      <c r="J274" s="31"/>
      <c r="K274" s="31"/>
      <c r="L274" s="31"/>
    </row>
    <row r="275" spans="1:12" s="39" customFormat="1" ht="17.7" customHeight="1">
      <c r="A275" s="124" t="s">
        <v>73</v>
      </c>
      <c r="B275" s="125"/>
      <c r="C275" s="125"/>
      <c r="D275" s="126"/>
      <c r="E275" s="31"/>
      <c r="F275" s="31"/>
      <c r="G275" s="31"/>
      <c r="H275" s="31"/>
      <c r="I275" s="31"/>
      <c r="J275" s="31"/>
      <c r="K275" s="31"/>
      <c r="L275" s="31"/>
    </row>
    <row r="276" spans="1:12" s="39" customFormat="1" ht="17.399999999999999">
      <c r="A276" s="46" t="s">
        <v>19</v>
      </c>
      <c r="B276" s="45" t="s">
        <v>20</v>
      </c>
      <c r="C276" s="54" t="s">
        <v>74</v>
      </c>
      <c r="D276" s="47" t="s">
        <v>25</v>
      </c>
      <c r="E276" s="31"/>
      <c r="F276" s="31"/>
      <c r="G276" s="31"/>
      <c r="H276" s="31"/>
      <c r="I276" s="31"/>
      <c r="J276" s="31"/>
      <c r="K276" s="31"/>
      <c r="L276" s="31"/>
    </row>
    <row r="277" spans="1:12" s="39" customFormat="1" ht="18">
      <c r="A277" s="35">
        <v>1</v>
      </c>
      <c r="B277" s="36" t="s">
        <v>495</v>
      </c>
      <c r="C277" s="36" t="s">
        <v>494</v>
      </c>
      <c r="D277" s="48" t="s">
        <v>499</v>
      </c>
      <c r="E277" s="31"/>
      <c r="F277" s="31"/>
      <c r="G277" s="31"/>
      <c r="H277" s="31"/>
      <c r="I277" s="31"/>
      <c r="J277" s="31"/>
      <c r="K277" s="31"/>
      <c r="L277" s="31"/>
    </row>
    <row r="278" spans="1:12" s="39" customFormat="1" ht="18">
      <c r="A278" s="35">
        <v>2</v>
      </c>
      <c r="B278" s="36" t="s">
        <v>513</v>
      </c>
      <c r="C278" s="36" t="s">
        <v>506</v>
      </c>
      <c r="D278" s="48" t="s">
        <v>499</v>
      </c>
      <c r="E278" s="31"/>
      <c r="F278" s="31"/>
      <c r="G278" s="31"/>
      <c r="H278" s="31"/>
      <c r="I278" s="31"/>
      <c r="J278" s="31"/>
      <c r="K278" s="31"/>
      <c r="L278" s="31"/>
    </row>
    <row r="279" spans="1:12" s="39" customFormat="1" ht="18">
      <c r="A279" s="35">
        <v>3</v>
      </c>
      <c r="B279" s="36" t="s">
        <v>514</v>
      </c>
      <c r="C279" s="36" t="s">
        <v>507</v>
      </c>
      <c r="D279" s="48" t="s">
        <v>499</v>
      </c>
      <c r="E279" s="31"/>
      <c r="F279" s="31"/>
      <c r="G279" s="31"/>
      <c r="H279" s="31"/>
      <c r="I279" s="31"/>
      <c r="J279" s="31"/>
      <c r="K279" s="31"/>
      <c r="L279" s="31"/>
    </row>
    <row r="280" spans="1:12" s="39" customFormat="1" ht="18">
      <c r="A280" s="35">
        <v>4</v>
      </c>
      <c r="B280" s="36" t="s">
        <v>515</v>
      </c>
      <c r="C280" s="36" t="s">
        <v>511</v>
      </c>
      <c r="D280" s="73" t="s">
        <v>512</v>
      </c>
      <c r="E280" s="31"/>
      <c r="F280" s="31"/>
      <c r="G280" s="31"/>
      <c r="H280" s="31"/>
      <c r="I280" s="31"/>
      <c r="J280" s="31"/>
      <c r="K280" s="31"/>
      <c r="L280" s="31"/>
    </row>
    <row r="281" spans="1:12" s="39" customFormat="1" ht="18">
      <c r="A281" s="35">
        <v>5</v>
      </c>
      <c r="B281" s="36" t="s">
        <v>516</v>
      </c>
      <c r="C281" s="36">
        <v>1085243</v>
      </c>
      <c r="D281" s="48" t="s">
        <v>510</v>
      </c>
      <c r="E281" s="31"/>
      <c r="F281" s="31"/>
      <c r="G281" s="31"/>
      <c r="H281" s="31"/>
      <c r="I281" s="31"/>
      <c r="J281" s="31"/>
      <c r="K281" s="31"/>
      <c r="L281" s="31"/>
    </row>
    <row r="282" spans="1:12" s="39" customFormat="1" ht="36">
      <c r="A282" s="35">
        <v>6</v>
      </c>
      <c r="B282" s="36" t="s">
        <v>525</v>
      </c>
      <c r="C282" s="36" t="s">
        <v>496</v>
      </c>
      <c r="D282" s="48" t="s">
        <v>437</v>
      </c>
      <c r="E282" s="31"/>
      <c r="F282" s="31"/>
      <c r="G282" s="31"/>
      <c r="H282" s="31"/>
      <c r="I282" s="31"/>
      <c r="J282" s="31"/>
      <c r="K282" s="31"/>
      <c r="L282" s="31"/>
    </row>
    <row r="283" spans="1:12" s="39" customFormat="1" ht="18">
      <c r="A283" s="35">
        <v>7</v>
      </c>
      <c r="B283" s="36" t="s">
        <v>523</v>
      </c>
      <c r="C283" s="36" t="s">
        <v>497</v>
      </c>
      <c r="D283" s="48" t="s">
        <v>437</v>
      </c>
      <c r="E283" s="31"/>
      <c r="F283" s="31"/>
      <c r="G283" s="31"/>
      <c r="H283" s="31"/>
      <c r="I283" s="31"/>
      <c r="J283" s="31"/>
      <c r="K283" s="31"/>
      <c r="L283" s="31"/>
    </row>
    <row r="284" spans="1:12" s="39" customFormat="1" ht="18">
      <c r="A284" s="35">
        <v>8</v>
      </c>
      <c r="B284" s="36" t="s">
        <v>524</v>
      </c>
      <c r="C284" s="36" t="s">
        <v>498</v>
      </c>
      <c r="D284" s="48" t="s">
        <v>437</v>
      </c>
      <c r="E284" s="31"/>
      <c r="F284" s="31"/>
      <c r="G284" s="31"/>
      <c r="H284" s="31"/>
      <c r="I284" s="31"/>
      <c r="J284" s="31"/>
      <c r="K284" s="31"/>
      <c r="L284" s="31"/>
    </row>
    <row r="285" spans="1:12" s="39" customFormat="1" ht="18">
      <c r="A285" s="35">
        <v>9</v>
      </c>
      <c r="B285" s="36" t="s">
        <v>526</v>
      </c>
      <c r="C285" s="36" t="s">
        <v>500</v>
      </c>
      <c r="D285" s="48" t="s">
        <v>437</v>
      </c>
      <c r="E285" s="31"/>
      <c r="F285" s="31"/>
      <c r="G285" s="31"/>
      <c r="H285" s="31"/>
      <c r="I285" s="31"/>
      <c r="J285" s="31"/>
      <c r="K285" s="31"/>
      <c r="L285" s="31"/>
    </row>
    <row r="286" spans="1:12" s="39" customFormat="1" ht="18">
      <c r="A286" s="35">
        <v>10</v>
      </c>
      <c r="B286" s="36" t="s">
        <v>527</v>
      </c>
      <c r="C286" s="36" t="s">
        <v>501</v>
      </c>
      <c r="D286" s="48" t="s">
        <v>437</v>
      </c>
      <c r="E286" s="31"/>
      <c r="F286" s="31"/>
      <c r="G286" s="31"/>
      <c r="H286" s="31"/>
      <c r="I286" s="31"/>
      <c r="J286" s="31"/>
      <c r="K286" s="31"/>
      <c r="L286" s="31"/>
    </row>
    <row r="287" spans="1:12" s="39" customFormat="1" ht="18">
      <c r="A287" s="35">
        <v>11</v>
      </c>
      <c r="B287" s="36" t="s">
        <v>50</v>
      </c>
      <c r="C287" s="36">
        <v>777301</v>
      </c>
      <c r="D287" s="48" t="s">
        <v>502</v>
      </c>
      <c r="E287" s="31"/>
      <c r="F287" s="31"/>
      <c r="G287" s="31"/>
      <c r="H287" s="31"/>
      <c r="I287" s="31"/>
      <c r="J287" s="31"/>
      <c r="K287" s="31"/>
      <c r="L287" s="31"/>
    </row>
    <row r="288" spans="1:12" s="39" customFormat="1" ht="18">
      <c r="A288" s="35">
        <v>12</v>
      </c>
      <c r="B288" s="36" t="s">
        <v>490</v>
      </c>
      <c r="C288" s="36" t="s">
        <v>359</v>
      </c>
      <c r="D288" s="48" t="s">
        <v>360</v>
      </c>
      <c r="E288" s="31"/>
      <c r="F288" s="31"/>
      <c r="G288" s="31"/>
      <c r="H288" s="31"/>
      <c r="I288" s="31"/>
      <c r="J288" s="31"/>
      <c r="K288" s="31"/>
      <c r="L288" s="31"/>
    </row>
    <row r="289" spans="1:12" s="39" customFormat="1" ht="18">
      <c r="A289" s="35">
        <v>13</v>
      </c>
      <c r="B289" s="36" t="s">
        <v>528</v>
      </c>
      <c r="C289" s="36" t="s">
        <v>503</v>
      </c>
      <c r="D289" s="48" t="s">
        <v>367</v>
      </c>
      <c r="E289" s="31"/>
      <c r="F289" s="31"/>
      <c r="G289" s="31"/>
      <c r="H289" s="31"/>
      <c r="I289" s="31"/>
      <c r="J289" s="31" t="s">
        <v>601</v>
      </c>
      <c r="K289" s="31"/>
      <c r="L289" s="31"/>
    </row>
    <row r="290" spans="1:12" s="39" customFormat="1" ht="18">
      <c r="A290" s="35">
        <v>14</v>
      </c>
      <c r="B290" s="36" t="s">
        <v>529</v>
      </c>
      <c r="C290" s="36" t="s">
        <v>503</v>
      </c>
      <c r="D290" s="48" t="s">
        <v>367</v>
      </c>
      <c r="E290" s="31"/>
      <c r="F290" s="31"/>
      <c r="G290" s="31"/>
      <c r="H290" s="31"/>
      <c r="I290" s="31"/>
      <c r="J290" s="31">
        <v>0</v>
      </c>
      <c r="K290" s="31"/>
      <c r="L290" s="31"/>
    </row>
    <row r="291" spans="1:12" s="39" customFormat="1" ht="18">
      <c r="A291" s="35">
        <v>15</v>
      </c>
      <c r="B291" s="36" t="s">
        <v>530</v>
      </c>
      <c r="C291" s="36" t="s">
        <v>503</v>
      </c>
      <c r="D291" s="48" t="s">
        <v>367</v>
      </c>
      <c r="E291" s="31"/>
      <c r="F291" s="31"/>
      <c r="G291" s="31"/>
      <c r="H291" s="31"/>
      <c r="I291" s="31"/>
      <c r="J291" s="31"/>
      <c r="K291" s="31"/>
      <c r="L291" s="31"/>
    </row>
    <row r="292" spans="1:12" s="39" customFormat="1" ht="18">
      <c r="A292" s="35">
        <v>16</v>
      </c>
      <c r="B292" s="36" t="s">
        <v>531</v>
      </c>
      <c r="C292" s="36" t="s">
        <v>503</v>
      </c>
      <c r="D292" s="48" t="s">
        <v>367</v>
      </c>
      <c r="E292" s="31"/>
      <c r="F292" s="31"/>
      <c r="G292" s="31"/>
      <c r="H292" s="31"/>
      <c r="I292" s="31"/>
      <c r="J292" s="31"/>
      <c r="K292" s="31"/>
      <c r="L292" s="31"/>
    </row>
    <row r="293" spans="1:12" s="39" customFormat="1" ht="18">
      <c r="A293" s="35">
        <v>17</v>
      </c>
      <c r="B293" s="51" t="s">
        <v>532</v>
      </c>
      <c r="C293" s="51" t="s">
        <v>504</v>
      </c>
      <c r="D293" s="48" t="s">
        <v>367</v>
      </c>
      <c r="E293" s="31"/>
      <c r="F293" s="31"/>
      <c r="G293" s="31"/>
      <c r="H293" s="31"/>
      <c r="I293" s="31"/>
      <c r="J293" s="31"/>
      <c r="K293" s="31"/>
      <c r="L293" s="31"/>
    </row>
    <row r="294" spans="1:12" s="39" customFormat="1" ht="18">
      <c r="A294" s="35">
        <v>18</v>
      </c>
      <c r="B294" s="51" t="s">
        <v>533</v>
      </c>
      <c r="C294" s="51" t="s">
        <v>504</v>
      </c>
      <c r="D294" s="48" t="s">
        <v>367</v>
      </c>
      <c r="E294" s="31"/>
      <c r="F294" s="31"/>
      <c r="G294" s="31"/>
      <c r="H294" s="31"/>
      <c r="I294" s="31"/>
      <c r="J294" s="31"/>
      <c r="K294" s="31"/>
      <c r="L294" s="31"/>
    </row>
    <row r="295" spans="1:12" s="39" customFormat="1" ht="18">
      <c r="A295" s="35">
        <v>19</v>
      </c>
      <c r="B295" s="51" t="s">
        <v>534</v>
      </c>
      <c r="C295" s="51" t="s">
        <v>504</v>
      </c>
      <c r="D295" s="48" t="s">
        <v>367</v>
      </c>
      <c r="E295" s="31"/>
      <c r="F295" s="31"/>
      <c r="G295" s="31"/>
      <c r="H295" s="31"/>
      <c r="I295" s="31"/>
      <c r="J295" s="31"/>
      <c r="K295" s="31"/>
      <c r="L295" s="31"/>
    </row>
    <row r="296" spans="1:12" s="39" customFormat="1" ht="18">
      <c r="A296" s="35">
        <v>20</v>
      </c>
      <c r="B296" s="51" t="s">
        <v>535</v>
      </c>
      <c r="C296" s="51" t="s">
        <v>505</v>
      </c>
      <c r="D296" s="48" t="s">
        <v>499</v>
      </c>
      <c r="E296" s="31"/>
      <c r="F296" s="31"/>
      <c r="G296" s="31"/>
      <c r="H296" s="31"/>
      <c r="I296" s="31"/>
      <c r="J296" s="31"/>
      <c r="K296" s="31"/>
      <c r="L296" s="31"/>
    </row>
    <row r="297" spans="1:12" s="39" customFormat="1" ht="18">
      <c r="A297" s="35">
        <v>21</v>
      </c>
      <c r="B297" s="51" t="s">
        <v>536</v>
      </c>
      <c r="C297" s="51" t="s">
        <v>508</v>
      </c>
      <c r="D297" s="51" t="s">
        <v>509</v>
      </c>
      <c r="E297" s="31"/>
      <c r="F297" s="31"/>
      <c r="G297" s="31"/>
      <c r="H297" s="31"/>
      <c r="I297" s="31"/>
      <c r="J297" s="31"/>
      <c r="K297" s="31"/>
      <c r="L297" s="31"/>
    </row>
    <row r="298" spans="1:12" s="39" customFormat="1" ht="18">
      <c r="A298" s="35">
        <v>22</v>
      </c>
      <c r="B298" s="51" t="s">
        <v>517</v>
      </c>
      <c r="C298" s="51" t="s">
        <v>518</v>
      </c>
      <c r="D298" s="51" t="s">
        <v>519</v>
      </c>
      <c r="F298" s="31"/>
      <c r="G298" s="31"/>
      <c r="H298" s="31"/>
      <c r="I298" s="31"/>
      <c r="J298" s="31"/>
      <c r="K298" s="31"/>
      <c r="L298" s="31"/>
    </row>
    <row r="299" spans="1:12" s="39" customFormat="1" ht="18">
      <c r="A299" s="35">
        <v>23</v>
      </c>
      <c r="B299" s="51" t="s">
        <v>520</v>
      </c>
      <c r="C299" s="51" t="s">
        <v>521</v>
      </c>
      <c r="D299" s="51" t="s">
        <v>522</v>
      </c>
      <c r="F299" s="31"/>
      <c r="G299" s="31"/>
      <c r="H299" s="31"/>
      <c r="I299" s="31"/>
      <c r="J299" s="31"/>
      <c r="K299" s="31"/>
      <c r="L299" s="31"/>
    </row>
    <row r="300" spans="1:12" s="39" customFormat="1" ht="31.2">
      <c r="A300" s="51">
        <v>24</v>
      </c>
      <c r="B300" s="76" t="s">
        <v>585</v>
      </c>
      <c r="C300" s="76" t="s">
        <v>587</v>
      </c>
      <c r="D300" s="73" t="s">
        <v>586</v>
      </c>
      <c r="E300" s="31"/>
      <c r="F300" s="31"/>
      <c r="G300" s="31"/>
      <c r="H300" s="31"/>
      <c r="I300" s="31"/>
      <c r="J300" s="31"/>
      <c r="K300" s="31"/>
      <c r="L300" s="31"/>
    </row>
    <row r="301" spans="1:12" s="39" customFormat="1" ht="18">
      <c r="A301" s="42"/>
      <c r="B301" s="42"/>
      <c r="C301" s="42"/>
      <c r="D301" s="32"/>
      <c r="E301" s="31"/>
      <c r="F301" s="31"/>
      <c r="G301" s="31"/>
      <c r="H301" s="31"/>
      <c r="I301" s="31"/>
      <c r="J301" s="31"/>
      <c r="K301" s="31"/>
      <c r="L301" s="31"/>
    </row>
    <row r="302" spans="1:12" s="39" customFormat="1" ht="18">
      <c r="A302" s="42"/>
      <c r="B302" s="42"/>
      <c r="C302" s="42"/>
      <c r="D302" s="32"/>
      <c r="E302" s="31"/>
      <c r="F302" s="31"/>
      <c r="G302" s="31"/>
      <c r="H302" s="31"/>
      <c r="I302" s="31"/>
      <c r="J302" s="31"/>
      <c r="K302" s="31"/>
      <c r="L302" s="31"/>
    </row>
    <row r="303" spans="1:12" s="39" customFormat="1" ht="18">
      <c r="A303" s="42"/>
      <c r="B303" s="42"/>
      <c r="C303" s="42"/>
      <c r="D303" s="32"/>
      <c r="E303" s="31"/>
      <c r="F303" s="31"/>
      <c r="G303" s="31"/>
      <c r="H303" s="31"/>
      <c r="I303" s="31"/>
      <c r="J303" s="31"/>
      <c r="K303" s="31"/>
      <c r="L303" s="31"/>
    </row>
    <row r="304" spans="1:12" s="39" customFormat="1" ht="18">
      <c r="A304" s="42"/>
      <c r="B304" s="42"/>
      <c r="C304" s="42"/>
      <c r="D304" s="32"/>
      <c r="E304" s="31"/>
      <c r="F304" s="31"/>
      <c r="G304" s="31"/>
      <c r="H304" s="31"/>
      <c r="I304" s="31"/>
      <c r="J304" s="31"/>
      <c r="K304" s="31"/>
      <c r="L304" s="31"/>
    </row>
    <row r="305" spans="1:12" s="39" customFormat="1" ht="18">
      <c r="A305" s="42"/>
      <c r="B305" s="42"/>
      <c r="C305" s="42"/>
      <c r="D305" s="32"/>
      <c r="E305" s="31"/>
      <c r="F305" s="31"/>
      <c r="G305" s="31"/>
      <c r="H305" s="31"/>
      <c r="I305" s="31"/>
      <c r="J305" s="31"/>
      <c r="K305" s="31"/>
      <c r="L305" s="31"/>
    </row>
    <row r="306" spans="1:12" s="39" customFormat="1" ht="18">
      <c r="A306" s="42"/>
      <c r="B306" s="42"/>
      <c r="C306" s="42"/>
      <c r="D306" s="32"/>
      <c r="E306" s="31"/>
      <c r="F306" s="31"/>
      <c r="G306" s="31"/>
      <c r="H306" s="31"/>
      <c r="I306" s="31"/>
      <c r="J306" s="31"/>
      <c r="K306" s="31"/>
      <c r="L306" s="31"/>
    </row>
    <row r="307" spans="1:12" s="39" customFormat="1" ht="18">
      <c r="A307" s="42"/>
      <c r="B307" s="42"/>
      <c r="C307" s="42"/>
      <c r="D307" s="32"/>
      <c r="E307" s="31"/>
      <c r="F307" s="31"/>
      <c r="G307" s="31"/>
      <c r="H307" s="31"/>
      <c r="I307" s="31"/>
      <c r="J307" s="31"/>
      <c r="K307" s="31"/>
      <c r="L307" s="31"/>
    </row>
    <row r="308" spans="1:12" s="39" customFormat="1" ht="18">
      <c r="A308" s="42"/>
      <c r="B308" s="42"/>
      <c r="C308" s="42"/>
      <c r="D308" s="32"/>
      <c r="E308" s="31"/>
      <c r="F308" s="31"/>
      <c r="G308" s="31"/>
      <c r="H308" s="31"/>
      <c r="I308" s="31"/>
      <c r="J308" s="31"/>
      <c r="K308" s="31"/>
      <c r="L308" s="31"/>
    </row>
    <row r="309" spans="1:12" s="39" customFormat="1" ht="18">
      <c r="A309" s="42"/>
      <c r="B309" s="42"/>
      <c r="C309" s="42"/>
      <c r="D309" s="32"/>
      <c r="E309" s="31"/>
      <c r="F309" s="31"/>
      <c r="G309" s="31"/>
      <c r="H309" s="31"/>
      <c r="I309" s="31"/>
      <c r="J309" s="31"/>
      <c r="K309" s="31"/>
      <c r="L309" s="31"/>
    </row>
    <row r="310" spans="1:12" s="39" customFormat="1" ht="18">
      <c r="A310" s="42"/>
      <c r="B310" s="42"/>
      <c r="C310" s="42"/>
      <c r="D310" s="32"/>
      <c r="E310" s="31"/>
      <c r="F310" s="31"/>
      <c r="G310" s="31"/>
      <c r="H310" s="31"/>
      <c r="I310" s="31"/>
      <c r="J310" s="31"/>
      <c r="K310" s="31"/>
      <c r="L310" s="31"/>
    </row>
    <row r="311" spans="1:12" s="39" customFormat="1" ht="18">
      <c r="A311" s="42"/>
      <c r="B311" s="42"/>
      <c r="C311" s="42"/>
      <c r="D311" s="32"/>
      <c r="E311" s="31"/>
      <c r="F311" s="31"/>
      <c r="G311" s="31"/>
      <c r="H311" s="31"/>
      <c r="I311" s="31"/>
      <c r="J311" s="31"/>
      <c r="K311" s="31"/>
      <c r="L311" s="31"/>
    </row>
    <row r="312" spans="1:12" s="39" customFormat="1" ht="18">
      <c r="A312" s="42"/>
      <c r="B312" s="42"/>
      <c r="C312" s="42"/>
      <c r="D312" s="32"/>
      <c r="E312" s="31"/>
      <c r="F312" s="31"/>
      <c r="G312" s="31"/>
      <c r="H312" s="31"/>
      <c r="I312" s="31"/>
      <c r="J312" s="31"/>
      <c r="K312" s="31"/>
      <c r="L312" s="31"/>
    </row>
    <row r="313" spans="1:12" s="39" customFormat="1" ht="18">
      <c r="A313" s="42"/>
      <c r="B313" s="42"/>
      <c r="C313" s="42"/>
      <c r="D313" s="32"/>
      <c r="E313" s="31"/>
      <c r="F313" s="31"/>
      <c r="G313" s="31"/>
      <c r="H313" s="31"/>
      <c r="I313" s="31"/>
      <c r="J313" s="31"/>
      <c r="K313" s="31"/>
      <c r="L313" s="31"/>
    </row>
    <row r="314" spans="1:12" s="39" customFormat="1" ht="18">
      <c r="A314" s="42"/>
      <c r="B314" s="42"/>
      <c r="C314" s="42"/>
      <c r="D314" s="32"/>
      <c r="E314" s="31"/>
      <c r="F314" s="31"/>
      <c r="G314" s="31"/>
      <c r="H314" s="31"/>
      <c r="I314" s="31"/>
      <c r="J314" s="31"/>
      <c r="K314" s="31"/>
      <c r="L314" s="31"/>
    </row>
    <row r="315" spans="1:12" s="39" customFormat="1" ht="18">
      <c r="A315" s="42"/>
      <c r="B315" s="42"/>
      <c r="C315" s="42"/>
      <c r="D315" s="32"/>
      <c r="E315" s="31"/>
      <c r="F315" s="31"/>
      <c r="G315" s="31"/>
      <c r="H315" s="31"/>
      <c r="I315" s="31"/>
      <c r="J315" s="31"/>
      <c r="K315" s="31"/>
      <c r="L315" s="31"/>
    </row>
    <row r="316" spans="1:12" s="39" customFormat="1" ht="18">
      <c r="A316" s="42"/>
      <c r="B316" s="42"/>
      <c r="C316" s="42"/>
      <c r="D316" s="32"/>
      <c r="E316" s="31"/>
      <c r="F316" s="31"/>
      <c r="G316" s="31"/>
      <c r="H316" s="31"/>
      <c r="I316" s="31"/>
      <c r="J316" s="31"/>
      <c r="K316" s="31"/>
      <c r="L316" s="31"/>
    </row>
    <row r="317" spans="1:12" s="39" customFormat="1" ht="18">
      <c r="A317" s="42"/>
      <c r="B317" s="42"/>
      <c r="C317" s="42"/>
      <c r="D317" s="32"/>
      <c r="E317" s="31"/>
      <c r="F317" s="31"/>
      <c r="G317" s="31"/>
      <c r="H317" s="31"/>
      <c r="I317" s="31"/>
      <c r="J317" s="31"/>
      <c r="K317" s="31"/>
      <c r="L317" s="31"/>
    </row>
    <row r="318" spans="1:12" s="39" customFormat="1" ht="18">
      <c r="A318" s="42"/>
      <c r="B318" s="42"/>
      <c r="C318" s="42"/>
      <c r="D318" s="32"/>
      <c r="E318" s="31"/>
      <c r="F318" s="31"/>
      <c r="G318" s="31"/>
      <c r="H318" s="31"/>
      <c r="I318" s="31"/>
      <c r="J318" s="31"/>
      <c r="K318" s="31"/>
      <c r="L318" s="31"/>
    </row>
    <row r="319" spans="1:12" s="39" customFormat="1" ht="18">
      <c r="A319" s="42"/>
      <c r="B319" s="42"/>
      <c r="C319" s="42"/>
      <c r="D319" s="32"/>
      <c r="E319" s="31"/>
      <c r="F319" s="31"/>
      <c r="G319" s="31"/>
      <c r="H319" s="31"/>
      <c r="I319" s="31"/>
      <c r="J319" s="31"/>
      <c r="K319" s="31"/>
      <c r="L319" s="31"/>
    </row>
    <row r="320" spans="1:12" s="39" customFormat="1" ht="18">
      <c r="A320" s="42"/>
      <c r="B320" s="42"/>
      <c r="C320" s="42"/>
      <c r="D320" s="32"/>
      <c r="E320" s="31"/>
      <c r="F320" s="31"/>
      <c r="G320" s="31"/>
      <c r="H320" s="31"/>
      <c r="I320" s="31"/>
      <c r="J320" s="31"/>
      <c r="K320" s="31"/>
      <c r="L320" s="31"/>
    </row>
    <row r="321" spans="1:12" s="39" customFormat="1" ht="18">
      <c r="A321" s="42"/>
      <c r="B321" s="42"/>
      <c r="C321" s="42"/>
      <c r="D321" s="32"/>
      <c r="E321" s="31"/>
      <c r="F321" s="31"/>
      <c r="G321" s="31"/>
      <c r="H321" s="31"/>
      <c r="I321" s="31"/>
      <c r="J321" s="31"/>
      <c r="K321" s="31"/>
      <c r="L321" s="31"/>
    </row>
    <row r="322" spans="1:12" s="39" customFormat="1" ht="18">
      <c r="A322" s="42"/>
      <c r="B322" s="42"/>
      <c r="C322" s="42"/>
      <c r="D322" s="32"/>
      <c r="E322" s="31"/>
      <c r="F322" s="31"/>
      <c r="G322" s="31"/>
      <c r="H322" s="31"/>
      <c r="I322" s="31"/>
      <c r="J322" s="31"/>
      <c r="K322" s="31"/>
      <c r="L322" s="31"/>
    </row>
    <row r="323" spans="1:12" s="39" customFormat="1" ht="18">
      <c r="A323" s="42"/>
      <c r="B323" s="42"/>
      <c r="C323" s="42"/>
      <c r="D323" s="32"/>
      <c r="E323" s="31"/>
      <c r="F323" s="31"/>
      <c r="G323" s="31"/>
      <c r="H323" s="31"/>
      <c r="I323" s="31"/>
      <c r="J323" s="31"/>
      <c r="K323" s="31"/>
      <c r="L323" s="31"/>
    </row>
    <row r="324" spans="1:12" s="39" customFormat="1" ht="18">
      <c r="A324" s="42"/>
      <c r="B324" s="42"/>
      <c r="C324" s="42"/>
      <c r="D324" s="32"/>
      <c r="E324" s="31"/>
      <c r="F324" s="31"/>
      <c r="G324" s="31"/>
      <c r="H324" s="31"/>
      <c r="I324" s="31"/>
      <c r="J324" s="31"/>
      <c r="K324" s="31"/>
      <c r="L324" s="31"/>
    </row>
    <row r="325" spans="1:12" s="39" customFormat="1" ht="18">
      <c r="A325" s="42"/>
      <c r="B325" s="42"/>
      <c r="C325" s="42"/>
      <c r="D325" s="32"/>
      <c r="E325" s="31"/>
      <c r="F325" s="31"/>
      <c r="G325" s="31"/>
      <c r="H325" s="31"/>
      <c r="I325" s="31"/>
      <c r="J325" s="31"/>
      <c r="K325" s="31"/>
      <c r="L325" s="31"/>
    </row>
    <row r="326" spans="1:12" s="39" customFormat="1" ht="18">
      <c r="A326" s="42"/>
      <c r="B326" s="42"/>
      <c r="C326" s="42"/>
      <c r="D326" s="32"/>
      <c r="E326" s="31"/>
      <c r="F326" s="31"/>
      <c r="G326" s="31"/>
      <c r="H326" s="31"/>
      <c r="I326" s="31"/>
      <c r="J326" s="31"/>
      <c r="K326" s="31"/>
      <c r="L326" s="31"/>
    </row>
    <row r="327" spans="1:12" s="39" customFormat="1" ht="18">
      <c r="A327" s="42"/>
      <c r="B327" s="42"/>
      <c r="C327" s="42"/>
      <c r="D327" s="32"/>
      <c r="E327" s="31"/>
      <c r="F327" s="31"/>
      <c r="G327" s="31"/>
      <c r="H327" s="31"/>
      <c r="I327" s="31"/>
      <c r="J327" s="31"/>
      <c r="K327" s="31"/>
      <c r="L327" s="31"/>
    </row>
    <row r="328" spans="1:12" s="39" customFormat="1" ht="18">
      <c r="A328" s="42"/>
      <c r="B328" s="42"/>
      <c r="C328" s="42"/>
      <c r="D328" s="32"/>
      <c r="E328" s="31"/>
      <c r="F328" s="31"/>
      <c r="G328" s="31"/>
      <c r="H328" s="31"/>
      <c r="I328" s="31"/>
      <c r="J328" s="31"/>
      <c r="K328" s="31"/>
      <c r="L328" s="31"/>
    </row>
    <row r="329" spans="1:12" s="39" customFormat="1" ht="18">
      <c r="A329" s="42"/>
      <c r="B329" s="42"/>
      <c r="C329" s="42"/>
      <c r="D329" s="32"/>
      <c r="E329" s="31"/>
      <c r="F329" s="31"/>
      <c r="G329" s="31"/>
      <c r="H329" s="31"/>
      <c r="I329" s="31"/>
      <c r="J329" s="31"/>
      <c r="K329" s="31"/>
      <c r="L329" s="31"/>
    </row>
    <row r="330" spans="1:12" s="39" customFormat="1" ht="18">
      <c r="A330" s="42"/>
      <c r="B330" s="42"/>
      <c r="C330" s="42"/>
      <c r="D330" s="32"/>
      <c r="E330" s="31"/>
      <c r="F330" s="31"/>
      <c r="G330" s="31"/>
      <c r="H330" s="31"/>
      <c r="I330" s="31"/>
      <c r="J330" s="31"/>
      <c r="K330" s="31"/>
      <c r="L330" s="31"/>
    </row>
    <row r="331" spans="1:12" s="39" customFormat="1" ht="18">
      <c r="A331" s="42"/>
      <c r="B331" s="42"/>
      <c r="C331" s="42"/>
      <c r="D331" s="32"/>
      <c r="E331" s="31"/>
      <c r="F331" s="31"/>
      <c r="G331" s="31"/>
      <c r="H331" s="31"/>
      <c r="I331" s="31"/>
      <c r="J331" s="31"/>
      <c r="K331" s="31"/>
      <c r="L331" s="31"/>
    </row>
    <row r="332" spans="1:12" s="39" customFormat="1" ht="18">
      <c r="A332" s="42"/>
      <c r="B332" s="42"/>
      <c r="C332" s="42"/>
      <c r="D332" s="32"/>
      <c r="E332" s="31"/>
      <c r="F332" s="31"/>
      <c r="G332" s="31"/>
      <c r="H332" s="31"/>
      <c r="I332" s="31"/>
      <c r="J332" s="31"/>
      <c r="K332" s="31"/>
      <c r="L332" s="31"/>
    </row>
    <row r="333" spans="1:12" s="39" customFormat="1" ht="18">
      <c r="A333" s="42"/>
      <c r="B333" s="42"/>
      <c r="C333" s="42"/>
      <c r="D333" s="32"/>
      <c r="E333" s="31"/>
      <c r="F333" s="31"/>
      <c r="G333" s="31"/>
      <c r="H333" s="31"/>
      <c r="I333" s="31"/>
      <c r="J333" s="31"/>
      <c r="K333" s="31"/>
      <c r="L333" s="31"/>
    </row>
    <row r="334" spans="1:12" s="39" customFormat="1" ht="18">
      <c r="A334" s="42"/>
      <c r="B334" s="42"/>
      <c r="C334" s="42"/>
      <c r="D334" s="32"/>
      <c r="E334" s="31"/>
      <c r="F334" s="31"/>
      <c r="G334" s="31"/>
      <c r="H334" s="31"/>
      <c r="I334" s="31"/>
      <c r="J334" s="31"/>
      <c r="K334" s="31"/>
      <c r="L334" s="31"/>
    </row>
    <row r="335" spans="1:12" s="39" customFormat="1" ht="18">
      <c r="A335" s="42"/>
      <c r="B335" s="42"/>
      <c r="C335" s="42"/>
      <c r="D335" s="32"/>
      <c r="E335" s="31"/>
      <c r="F335" s="31"/>
      <c r="G335" s="31"/>
      <c r="H335" s="31"/>
      <c r="I335" s="31"/>
      <c r="J335" s="31"/>
      <c r="K335" s="31"/>
      <c r="L335" s="31"/>
    </row>
    <row r="336" spans="1:12" s="39" customFormat="1" ht="18">
      <c r="A336" s="42"/>
      <c r="B336" s="42"/>
      <c r="C336" s="42"/>
      <c r="D336" s="32"/>
      <c r="E336" s="31"/>
      <c r="F336" s="31"/>
      <c r="G336" s="31"/>
      <c r="H336" s="31"/>
      <c r="I336" s="31"/>
      <c r="J336" s="31"/>
      <c r="K336" s="31"/>
      <c r="L336" s="31"/>
    </row>
    <row r="337" spans="1:12" s="39" customFormat="1" ht="18">
      <c r="A337" s="42"/>
      <c r="B337" s="42"/>
      <c r="C337" s="42"/>
      <c r="D337" s="32"/>
      <c r="E337" s="31"/>
      <c r="F337" s="31"/>
      <c r="G337" s="31"/>
      <c r="H337" s="31"/>
      <c r="I337" s="31"/>
      <c r="J337" s="31"/>
      <c r="K337" s="31"/>
      <c r="L337" s="31"/>
    </row>
    <row r="338" spans="1:12" s="39" customFormat="1" ht="18">
      <c r="A338" s="42"/>
      <c r="B338" s="42"/>
      <c r="C338" s="42"/>
      <c r="D338" s="32"/>
      <c r="E338" s="31"/>
      <c r="F338" s="31"/>
      <c r="G338" s="31"/>
      <c r="H338" s="31"/>
      <c r="I338" s="31"/>
      <c r="J338" s="31"/>
      <c r="K338" s="31"/>
      <c r="L338" s="31"/>
    </row>
    <row r="339" spans="1:12" s="39" customFormat="1" ht="18">
      <c r="A339" s="42"/>
      <c r="B339" s="42"/>
      <c r="C339" s="42"/>
      <c r="D339" s="32"/>
      <c r="E339" s="31"/>
      <c r="F339" s="31"/>
      <c r="G339" s="31"/>
      <c r="H339" s="31"/>
      <c r="I339" s="31"/>
      <c r="J339" s="31"/>
      <c r="K339" s="31"/>
      <c r="L339" s="31"/>
    </row>
    <row r="340" spans="1:12" s="39" customFormat="1" ht="18">
      <c r="A340" s="42"/>
      <c r="B340" s="42"/>
      <c r="C340" s="42"/>
      <c r="D340" s="32"/>
      <c r="E340" s="31"/>
      <c r="F340" s="31"/>
      <c r="G340" s="31"/>
      <c r="H340" s="31"/>
      <c r="I340" s="31"/>
      <c r="J340" s="31"/>
      <c r="K340" s="31"/>
      <c r="L340" s="31"/>
    </row>
    <row r="341" spans="1:12" s="39" customFormat="1" ht="18">
      <c r="A341" s="42"/>
      <c r="B341" s="42"/>
      <c r="C341" s="42"/>
      <c r="D341" s="32"/>
      <c r="E341" s="31"/>
      <c r="F341" s="31"/>
      <c r="G341" s="31"/>
      <c r="H341" s="31"/>
      <c r="I341" s="31"/>
      <c r="J341" s="31"/>
      <c r="K341" s="31"/>
      <c r="L341" s="31"/>
    </row>
    <row r="342" spans="1:12" s="39" customFormat="1" ht="18">
      <c r="A342" s="42"/>
      <c r="B342" s="42"/>
      <c r="C342" s="42"/>
      <c r="D342" s="32"/>
      <c r="E342" s="31"/>
      <c r="F342" s="31"/>
      <c r="G342" s="31"/>
      <c r="H342" s="31"/>
      <c r="I342" s="31"/>
      <c r="J342" s="31"/>
      <c r="K342" s="31"/>
      <c r="L342" s="31"/>
    </row>
    <row r="343" spans="1:12" s="39" customFormat="1" ht="18">
      <c r="A343" s="42"/>
      <c r="B343" s="42"/>
      <c r="C343" s="42"/>
      <c r="D343" s="32"/>
      <c r="E343" s="31"/>
      <c r="F343" s="31"/>
      <c r="G343" s="31"/>
      <c r="H343" s="31"/>
      <c r="I343" s="31"/>
      <c r="J343" s="31"/>
      <c r="K343" s="31"/>
      <c r="L343" s="31"/>
    </row>
    <row r="344" spans="1:12" s="39" customFormat="1" ht="18">
      <c r="A344" s="42"/>
      <c r="B344" s="42"/>
      <c r="C344" s="42"/>
      <c r="D344" s="32"/>
      <c r="E344" s="31"/>
      <c r="F344" s="31"/>
      <c r="G344" s="31"/>
      <c r="H344" s="31"/>
      <c r="I344" s="31"/>
      <c r="J344" s="31"/>
      <c r="K344" s="31"/>
      <c r="L344" s="31"/>
    </row>
    <row r="345" spans="1:12" s="39" customFormat="1" ht="18">
      <c r="A345" s="42"/>
      <c r="B345" s="42"/>
      <c r="C345" s="42"/>
      <c r="D345" s="32"/>
      <c r="E345" s="31"/>
      <c r="F345" s="31"/>
      <c r="G345" s="31"/>
      <c r="H345" s="31"/>
      <c r="I345" s="31"/>
      <c r="J345" s="31"/>
      <c r="K345" s="31"/>
      <c r="L345" s="31"/>
    </row>
    <row r="346" spans="1:12" s="39" customFormat="1" ht="18">
      <c r="A346" s="42"/>
      <c r="B346" s="42"/>
      <c r="C346" s="42"/>
      <c r="D346" s="32"/>
      <c r="E346" s="31"/>
      <c r="F346" s="31"/>
      <c r="G346" s="31"/>
      <c r="H346" s="31"/>
      <c r="I346" s="31"/>
      <c r="J346" s="31"/>
      <c r="K346" s="31"/>
      <c r="L346" s="31"/>
    </row>
    <row r="347" spans="1:12" s="39" customFormat="1" ht="18">
      <c r="A347" s="42"/>
      <c r="B347" s="42"/>
      <c r="C347" s="42"/>
      <c r="D347" s="32"/>
      <c r="E347" s="31"/>
      <c r="F347" s="31"/>
      <c r="G347" s="31"/>
      <c r="H347" s="31"/>
      <c r="I347" s="31"/>
      <c r="J347" s="31"/>
      <c r="K347" s="31"/>
      <c r="L347" s="31"/>
    </row>
    <row r="348" spans="1:12" s="39" customFormat="1" ht="18">
      <c r="A348" s="42"/>
      <c r="B348" s="42"/>
      <c r="C348" s="42"/>
      <c r="D348" s="32"/>
      <c r="E348" s="31"/>
      <c r="F348" s="31"/>
      <c r="G348" s="31"/>
      <c r="H348" s="31"/>
      <c r="I348" s="31"/>
      <c r="J348" s="31"/>
      <c r="K348" s="31"/>
      <c r="L348" s="31"/>
    </row>
    <row r="349" spans="1:12" s="39" customFormat="1" ht="18">
      <c r="A349" s="42"/>
      <c r="B349" s="42"/>
      <c r="C349" s="42"/>
      <c r="D349" s="32"/>
      <c r="E349" s="31"/>
      <c r="F349" s="31"/>
      <c r="G349" s="31"/>
      <c r="H349" s="31"/>
      <c r="I349" s="31"/>
      <c r="J349" s="31"/>
      <c r="K349" s="31"/>
      <c r="L349" s="31"/>
    </row>
    <row r="350" spans="1:12" s="39" customFormat="1" ht="18">
      <c r="A350" s="42"/>
      <c r="B350" s="42"/>
      <c r="C350" s="42"/>
      <c r="D350" s="32"/>
      <c r="E350" s="31"/>
      <c r="F350" s="31"/>
      <c r="G350" s="31"/>
      <c r="H350" s="31"/>
      <c r="I350" s="31"/>
      <c r="J350" s="31"/>
      <c r="K350" s="31"/>
      <c r="L350" s="31"/>
    </row>
    <row r="351" spans="1:12" s="39" customFormat="1" ht="18">
      <c r="A351" s="42"/>
      <c r="B351" s="42"/>
      <c r="C351" s="42"/>
      <c r="D351" s="32"/>
      <c r="E351" s="31"/>
      <c r="F351" s="31"/>
      <c r="G351" s="31"/>
      <c r="H351" s="31"/>
      <c r="I351" s="31"/>
      <c r="J351" s="31"/>
      <c r="K351" s="31"/>
      <c r="L351" s="31"/>
    </row>
    <row r="352" spans="1:12" s="39" customFormat="1" ht="18">
      <c r="A352" s="42"/>
      <c r="B352" s="42"/>
      <c r="C352" s="42"/>
      <c r="D352" s="32"/>
      <c r="E352" s="31"/>
      <c r="F352" s="31"/>
      <c r="G352" s="31"/>
      <c r="H352" s="31"/>
      <c r="I352" s="31"/>
      <c r="J352" s="31"/>
      <c r="K352" s="31"/>
      <c r="L352" s="31"/>
    </row>
    <row r="353" spans="1:12" s="39" customFormat="1" ht="18">
      <c r="A353" s="42"/>
      <c r="B353" s="42"/>
      <c r="C353" s="42"/>
      <c r="D353" s="32"/>
      <c r="E353" s="31"/>
      <c r="F353" s="31"/>
      <c r="G353" s="31"/>
      <c r="H353" s="31"/>
      <c r="I353" s="31"/>
      <c r="J353" s="31"/>
      <c r="K353" s="31"/>
      <c r="L353" s="31"/>
    </row>
    <row r="354" spans="1:12" s="39" customFormat="1" ht="18">
      <c r="A354" s="42"/>
      <c r="B354" s="42"/>
      <c r="C354" s="42"/>
      <c r="D354" s="32"/>
      <c r="E354" s="31"/>
      <c r="F354" s="31"/>
      <c r="G354" s="31"/>
      <c r="H354" s="31"/>
      <c r="I354" s="31"/>
      <c r="J354" s="31"/>
      <c r="K354" s="31"/>
      <c r="L354" s="31"/>
    </row>
    <row r="355" spans="1:12" s="39" customFormat="1" ht="18">
      <c r="A355" s="42"/>
      <c r="B355" s="42"/>
      <c r="C355" s="42"/>
      <c r="D355" s="32"/>
      <c r="E355" s="31"/>
      <c r="F355" s="31"/>
      <c r="G355" s="31"/>
      <c r="H355" s="31"/>
      <c r="I355" s="31"/>
      <c r="J355" s="31"/>
      <c r="K355" s="31"/>
      <c r="L355" s="31"/>
    </row>
    <row r="356" spans="1:12" s="39" customFormat="1" ht="18">
      <c r="A356" s="42"/>
      <c r="B356" s="42"/>
      <c r="C356" s="42"/>
      <c r="D356" s="32"/>
      <c r="E356" s="31"/>
      <c r="F356" s="31"/>
      <c r="G356" s="31"/>
      <c r="H356" s="31"/>
      <c r="I356" s="31"/>
      <c r="J356" s="31"/>
      <c r="K356" s="31"/>
      <c r="L356" s="31"/>
    </row>
    <row r="357" spans="1:12" s="39" customFormat="1" ht="18">
      <c r="A357" s="42"/>
      <c r="B357" s="42"/>
      <c r="C357" s="42"/>
      <c r="D357" s="32"/>
      <c r="E357" s="31"/>
      <c r="F357" s="31"/>
      <c r="G357" s="31"/>
      <c r="H357" s="31"/>
      <c r="I357" s="31"/>
      <c r="J357" s="31"/>
      <c r="K357" s="31"/>
      <c r="L357" s="31"/>
    </row>
    <row r="358" spans="1:12" s="39" customFormat="1" ht="18">
      <c r="A358" s="42"/>
      <c r="B358" s="42"/>
      <c r="C358" s="42"/>
      <c r="D358" s="32"/>
      <c r="E358" s="31"/>
      <c r="F358" s="31"/>
      <c r="G358" s="31"/>
      <c r="H358" s="31"/>
      <c r="I358" s="31"/>
      <c r="J358" s="31"/>
      <c r="K358" s="31"/>
      <c r="L358" s="31"/>
    </row>
    <row r="359" spans="1:12" s="39" customFormat="1" ht="18">
      <c r="A359" s="42"/>
      <c r="B359" s="42"/>
      <c r="C359" s="42"/>
      <c r="D359" s="32"/>
      <c r="E359" s="31"/>
      <c r="F359" s="31"/>
      <c r="G359" s="31"/>
      <c r="H359" s="31"/>
      <c r="I359" s="31"/>
      <c r="J359" s="31"/>
      <c r="K359" s="31"/>
      <c r="L359" s="31"/>
    </row>
    <row r="360" spans="1:12" s="39" customFormat="1" ht="18">
      <c r="A360" s="42"/>
      <c r="B360" s="42"/>
      <c r="C360" s="42"/>
      <c r="D360" s="32"/>
      <c r="E360" s="31"/>
      <c r="F360" s="31"/>
      <c r="G360" s="31"/>
      <c r="H360" s="31"/>
      <c r="I360" s="31"/>
      <c r="J360" s="31"/>
      <c r="K360" s="31"/>
      <c r="L360" s="31"/>
    </row>
    <row r="361" spans="1:12" s="39" customFormat="1" ht="18">
      <c r="A361" s="42"/>
      <c r="B361" s="42"/>
      <c r="C361" s="42"/>
      <c r="D361" s="32"/>
      <c r="E361" s="31"/>
      <c r="F361" s="31"/>
      <c r="G361" s="31"/>
      <c r="H361" s="31"/>
      <c r="I361" s="31"/>
      <c r="J361" s="31"/>
      <c r="K361" s="31"/>
      <c r="L361" s="31"/>
    </row>
    <row r="362" spans="1:12" s="39" customFormat="1" ht="18">
      <c r="A362" s="42"/>
      <c r="B362" s="42"/>
      <c r="C362" s="42"/>
      <c r="D362" s="32"/>
      <c r="E362" s="31"/>
      <c r="F362" s="31"/>
      <c r="G362" s="31"/>
      <c r="H362" s="31"/>
      <c r="I362" s="31"/>
      <c r="J362" s="31"/>
      <c r="K362" s="31"/>
      <c r="L362" s="31"/>
    </row>
    <row r="363" spans="1:12" s="39" customFormat="1" ht="18">
      <c r="A363" s="42"/>
      <c r="B363" s="42"/>
      <c r="C363" s="42"/>
      <c r="D363" s="32"/>
      <c r="E363" s="31"/>
      <c r="F363" s="31"/>
      <c r="G363" s="31"/>
      <c r="H363" s="31"/>
      <c r="I363" s="31"/>
      <c r="J363" s="31"/>
      <c r="K363" s="31"/>
      <c r="L363" s="31"/>
    </row>
    <row r="364" spans="1:12" s="39" customFormat="1" ht="18">
      <c r="A364" s="42"/>
      <c r="B364" s="42"/>
      <c r="C364" s="42"/>
      <c r="D364" s="32"/>
      <c r="E364" s="31"/>
      <c r="F364" s="31"/>
      <c r="G364" s="31"/>
      <c r="H364" s="31"/>
      <c r="I364" s="31"/>
      <c r="J364" s="31"/>
      <c r="K364" s="31"/>
      <c r="L364" s="31"/>
    </row>
    <row r="365" spans="1:12" s="39" customFormat="1" ht="18">
      <c r="A365" s="42"/>
      <c r="B365" s="42"/>
      <c r="C365" s="42"/>
      <c r="D365" s="32"/>
      <c r="E365" s="31"/>
      <c r="F365" s="31"/>
      <c r="G365" s="31"/>
      <c r="H365" s="31"/>
      <c r="I365" s="31"/>
      <c r="J365" s="31"/>
      <c r="K365" s="31"/>
      <c r="L365" s="31"/>
    </row>
    <row r="366" spans="1:12" s="39" customFormat="1" ht="18">
      <c r="A366" s="42"/>
      <c r="B366" s="42"/>
      <c r="C366" s="42"/>
      <c r="D366" s="32"/>
      <c r="E366" s="31"/>
      <c r="F366" s="31"/>
      <c r="G366" s="31"/>
      <c r="H366" s="31"/>
      <c r="I366" s="31"/>
      <c r="J366" s="31"/>
      <c r="K366" s="31"/>
      <c r="L366" s="31"/>
    </row>
    <row r="367" spans="1:12" s="39" customFormat="1" ht="18">
      <c r="A367" s="42"/>
      <c r="B367" s="42"/>
      <c r="C367" s="42"/>
      <c r="D367" s="32"/>
      <c r="E367" s="31"/>
      <c r="F367" s="31"/>
      <c r="G367" s="31"/>
      <c r="H367" s="31"/>
      <c r="I367" s="31"/>
      <c r="J367" s="31"/>
      <c r="K367" s="31"/>
      <c r="L367" s="31"/>
    </row>
    <row r="368" spans="1:12" s="39" customFormat="1" ht="18">
      <c r="A368" s="42"/>
      <c r="B368" s="42"/>
      <c r="C368" s="42"/>
      <c r="D368" s="32"/>
      <c r="E368" s="31"/>
      <c r="F368" s="31"/>
      <c r="G368" s="31"/>
      <c r="H368" s="31"/>
      <c r="I368" s="31"/>
      <c r="J368" s="31"/>
      <c r="K368" s="31"/>
      <c r="L368" s="31"/>
    </row>
    <row r="369" spans="1:12" s="39" customFormat="1" ht="18">
      <c r="A369" s="42"/>
      <c r="B369" s="42"/>
      <c r="C369" s="42"/>
      <c r="D369" s="32"/>
      <c r="E369" s="31"/>
      <c r="F369" s="31"/>
      <c r="G369" s="31"/>
      <c r="H369" s="31"/>
      <c r="I369" s="31"/>
      <c r="J369" s="31"/>
      <c r="K369" s="31"/>
      <c r="L369" s="31"/>
    </row>
    <row r="370" spans="1:12" s="29" customFormat="1" ht="18">
      <c r="A370" s="42"/>
      <c r="B370" s="42"/>
      <c r="C370" s="42"/>
      <c r="D370" s="32"/>
      <c r="E370" s="31"/>
      <c r="F370" s="31"/>
      <c r="G370" s="31"/>
      <c r="H370" s="31"/>
      <c r="I370" s="31"/>
      <c r="J370" s="31"/>
      <c r="K370" s="31"/>
      <c r="L370" s="31"/>
    </row>
    <row r="371" spans="1:12" s="5" customFormat="1" ht="18">
      <c r="A371" s="42"/>
      <c r="B371" s="42"/>
      <c r="C371" s="42"/>
      <c r="D371" s="32"/>
      <c r="E371" s="31"/>
      <c r="F371" s="31"/>
      <c r="G371" s="31"/>
      <c r="H371" s="31"/>
      <c r="I371" s="31"/>
      <c r="J371" s="31"/>
      <c r="K371" s="31"/>
      <c r="L371" s="31"/>
    </row>
    <row r="372" spans="1:12" s="29" customFormat="1" ht="18">
      <c r="A372" s="42"/>
      <c r="B372" s="42"/>
      <c r="C372" s="42"/>
      <c r="D372" s="32"/>
      <c r="E372" s="31"/>
      <c r="F372" s="31"/>
      <c r="G372" s="31"/>
      <c r="H372" s="31"/>
      <c r="I372" s="31"/>
      <c r="J372" s="31"/>
      <c r="K372" s="31"/>
      <c r="L372" s="31"/>
    </row>
    <row r="373" spans="1:12" ht="18">
      <c r="A373" s="42"/>
      <c r="B373" s="42"/>
      <c r="C373" s="42"/>
      <c r="D373" s="32"/>
    </row>
    <row r="374" spans="1:12" ht="18">
      <c r="A374" s="42"/>
      <c r="B374" s="42"/>
      <c r="C374" s="42"/>
      <c r="D374" s="32"/>
    </row>
    <row r="375" spans="1:12" ht="18">
      <c r="A375" s="42"/>
      <c r="B375" s="42"/>
      <c r="C375" s="42"/>
      <c r="D375" s="32"/>
    </row>
    <row r="376" spans="1:12" ht="18">
      <c r="A376" s="42"/>
      <c r="B376" s="42"/>
      <c r="C376" s="42"/>
      <c r="D376" s="32"/>
    </row>
    <row r="377" spans="1:12" ht="18">
      <c r="A377" s="42"/>
      <c r="B377" s="42"/>
      <c r="C377" s="42"/>
      <c r="D377" s="32"/>
    </row>
    <row r="378" spans="1:12" ht="18">
      <c r="A378" s="42"/>
      <c r="B378" s="42"/>
      <c r="C378" s="42"/>
      <c r="D378" s="32"/>
    </row>
    <row r="379" spans="1:12" ht="18">
      <c r="A379" s="42"/>
      <c r="B379" s="42"/>
      <c r="C379" s="42"/>
      <c r="D379" s="32"/>
    </row>
    <row r="380" spans="1:12" ht="18">
      <c r="A380" s="42"/>
      <c r="B380" s="42"/>
      <c r="C380" s="42"/>
      <c r="D380" s="32"/>
    </row>
    <row r="381" spans="1:12" ht="18">
      <c r="A381" s="42"/>
      <c r="B381" s="42"/>
      <c r="C381" s="42"/>
      <c r="D381" s="32"/>
    </row>
    <row r="382" spans="1:12" ht="18">
      <c r="A382" s="42"/>
      <c r="B382" s="42"/>
      <c r="C382" s="42"/>
      <c r="D382" s="32"/>
    </row>
    <row r="383" spans="1:12" ht="18">
      <c r="A383" s="42"/>
      <c r="B383" s="42"/>
      <c r="C383" s="42"/>
      <c r="D383" s="32"/>
    </row>
    <row r="384" spans="1:12" ht="18">
      <c r="A384" s="42"/>
      <c r="B384" s="42"/>
      <c r="C384" s="42"/>
      <c r="D384" s="32"/>
    </row>
    <row r="385" spans="1:4" ht="18">
      <c r="A385" s="42"/>
      <c r="B385" s="42"/>
      <c r="C385" s="42"/>
      <c r="D385" s="32"/>
    </row>
    <row r="386" spans="1:4" ht="18">
      <c r="A386" s="42"/>
      <c r="B386" s="42"/>
      <c r="C386" s="42"/>
      <c r="D386" s="32"/>
    </row>
    <row r="387" spans="1:4" ht="18">
      <c r="A387" s="42"/>
      <c r="B387" s="42"/>
      <c r="C387" s="42"/>
      <c r="D387" s="32"/>
    </row>
    <row r="388" spans="1:4" ht="18">
      <c r="A388" s="42"/>
      <c r="B388" s="42"/>
      <c r="C388" s="42"/>
      <c r="D388" s="32"/>
    </row>
    <row r="389" spans="1:4" ht="18">
      <c r="A389" s="42"/>
      <c r="B389" s="42"/>
      <c r="C389" s="42"/>
      <c r="D389" s="32"/>
    </row>
    <row r="390" spans="1:4" ht="18">
      <c r="A390" s="42"/>
      <c r="B390" s="42"/>
      <c r="C390" s="42"/>
      <c r="D390" s="32"/>
    </row>
    <row r="391" spans="1:4" ht="18">
      <c r="A391" s="42"/>
      <c r="B391" s="42"/>
      <c r="C391" s="42"/>
      <c r="D391" s="32"/>
    </row>
    <row r="392" spans="1:4" ht="18">
      <c r="A392" s="42"/>
      <c r="B392" s="42"/>
      <c r="C392" s="42"/>
      <c r="D392" s="32"/>
    </row>
    <row r="393" spans="1:4" ht="18">
      <c r="A393" s="42"/>
      <c r="B393" s="42"/>
      <c r="C393" s="42"/>
      <c r="D393" s="32"/>
    </row>
    <row r="394" spans="1:4" ht="18">
      <c r="A394" s="42"/>
      <c r="B394" s="42"/>
      <c r="C394" s="42"/>
      <c r="D394" s="32"/>
    </row>
    <row r="395" spans="1:4" ht="18">
      <c r="A395" s="42"/>
      <c r="B395" s="42"/>
      <c r="C395" s="42"/>
      <c r="D395" s="32"/>
    </row>
    <row r="396" spans="1:4" ht="18">
      <c r="A396" s="42"/>
      <c r="B396" s="42"/>
      <c r="C396" s="42"/>
      <c r="D396" s="32"/>
    </row>
    <row r="397" spans="1:4" ht="18">
      <c r="A397" s="42"/>
      <c r="B397" s="42"/>
      <c r="C397" s="42"/>
      <c r="D397" s="32"/>
    </row>
    <row r="398" spans="1:4" ht="18">
      <c r="A398" s="42"/>
      <c r="B398" s="42"/>
      <c r="C398" s="42"/>
      <c r="D398" s="32"/>
    </row>
    <row r="399" spans="1:4" ht="18">
      <c r="A399" s="42"/>
      <c r="B399" s="42"/>
      <c r="C399" s="42"/>
      <c r="D399" s="32"/>
    </row>
    <row r="400" spans="1:4" ht="18">
      <c r="A400" s="42"/>
      <c r="B400" s="42"/>
      <c r="C400" s="42"/>
      <c r="D400" s="32"/>
    </row>
    <row r="401" spans="1:4" ht="18">
      <c r="A401" s="42"/>
      <c r="B401" s="42"/>
      <c r="C401" s="42"/>
      <c r="D401" s="32"/>
    </row>
    <row r="402" spans="1:4" ht="18">
      <c r="A402" s="42"/>
      <c r="B402" s="42"/>
      <c r="C402" s="42"/>
      <c r="D402" s="32"/>
    </row>
    <row r="403" spans="1:4" ht="18">
      <c r="A403" s="42"/>
      <c r="B403" s="42"/>
      <c r="C403" s="42"/>
      <c r="D403" s="32"/>
    </row>
    <row r="404" spans="1:4" ht="18">
      <c r="A404" s="42"/>
      <c r="B404" s="42"/>
      <c r="C404" s="42"/>
      <c r="D404" s="32"/>
    </row>
    <row r="405" spans="1:4" ht="18">
      <c r="A405" s="42"/>
      <c r="B405" s="42"/>
      <c r="C405" s="42"/>
      <c r="D405" s="32"/>
    </row>
    <row r="406" spans="1:4" ht="18">
      <c r="A406" s="42"/>
      <c r="B406" s="42"/>
      <c r="C406" s="42"/>
      <c r="D406" s="32"/>
    </row>
    <row r="407" spans="1:4" ht="18">
      <c r="A407" s="42"/>
      <c r="B407" s="42"/>
      <c r="C407" s="42"/>
      <c r="D407" s="32"/>
    </row>
    <row r="408" spans="1:4" ht="18">
      <c r="A408" s="42"/>
      <c r="B408" s="42"/>
      <c r="C408" s="42"/>
      <c r="D408" s="32"/>
    </row>
    <row r="409" spans="1:4" ht="18">
      <c r="A409" s="42"/>
    </row>
    <row r="410" spans="1:4" ht="18">
      <c r="A410" s="42"/>
    </row>
    <row r="411" spans="1:4" ht="18">
      <c r="A411" s="42"/>
    </row>
    <row r="412" spans="1:4" ht="18">
      <c r="A412" s="42"/>
    </row>
    <row r="413" spans="1:4" ht="18">
      <c r="A413" s="42"/>
    </row>
    <row r="414" spans="1:4" ht="18">
      <c r="A414" s="42"/>
    </row>
    <row r="415" spans="1:4" ht="18">
      <c r="A415" s="42"/>
    </row>
    <row r="416" spans="1:4" ht="18">
      <c r="A416" s="42"/>
    </row>
    <row r="417" spans="1:1" ht="18">
      <c r="A417" s="42"/>
    </row>
    <row r="418" spans="1:1" ht="18">
      <c r="A418" s="42"/>
    </row>
    <row r="419" spans="1:1" ht="18">
      <c r="A419" s="42"/>
    </row>
    <row r="420" spans="1:1" ht="18">
      <c r="A420" s="42"/>
    </row>
    <row r="421" spans="1:1" ht="18">
      <c r="A421" s="42"/>
    </row>
    <row r="422" spans="1:1" ht="18">
      <c r="A422" s="42"/>
    </row>
    <row r="423" spans="1:1" ht="18">
      <c r="A423" s="42"/>
    </row>
  </sheetData>
  <autoFilter ref="I11:L157" xr:uid="{00000000-0009-0000-0000-000000000000}"/>
  <mergeCells count="86">
    <mergeCell ref="G28:G43"/>
    <mergeCell ref="G12:G27"/>
    <mergeCell ref="I110:I118"/>
    <mergeCell ref="A164:I164"/>
    <mergeCell ref="G142:G157"/>
    <mergeCell ref="I131:I147"/>
    <mergeCell ref="F28:F43"/>
    <mergeCell ref="F12:F27"/>
    <mergeCell ref="G161:G162"/>
    <mergeCell ref="G44:G59"/>
    <mergeCell ref="G60:G75"/>
    <mergeCell ref="F126:F141"/>
    <mergeCell ref="F110:F125"/>
    <mergeCell ref="G126:G141"/>
    <mergeCell ref="G92:G107"/>
    <mergeCell ref="F76:F91"/>
    <mergeCell ref="G76:G91"/>
    <mergeCell ref="A159:L159"/>
    <mergeCell ref="A108:L108"/>
    <mergeCell ref="F142:F157"/>
    <mergeCell ref="F60:F75"/>
    <mergeCell ref="F92:F107"/>
    <mergeCell ref="I80:I95"/>
    <mergeCell ref="J80:J95"/>
    <mergeCell ref="G109:G125"/>
    <mergeCell ref="J131:J147"/>
    <mergeCell ref="I124:I127"/>
    <mergeCell ref="J124:J127"/>
    <mergeCell ref="J110:J118"/>
    <mergeCell ref="E6:G6"/>
    <mergeCell ref="A10:L10"/>
    <mergeCell ref="J5:K5"/>
    <mergeCell ref="A5:B5"/>
    <mergeCell ref="E5:G5"/>
    <mergeCell ref="A1:L2"/>
    <mergeCell ref="A3:B3"/>
    <mergeCell ref="C3:I3"/>
    <mergeCell ref="J3:K3"/>
    <mergeCell ref="A4:B4"/>
    <mergeCell ref="C4:I4"/>
    <mergeCell ref="J4:K4"/>
    <mergeCell ref="A275:D275"/>
    <mergeCell ref="A235:I235"/>
    <mergeCell ref="G201:G224"/>
    <mergeCell ref="H201:H224"/>
    <mergeCell ref="I201:I224"/>
    <mergeCell ref="F201:F202"/>
    <mergeCell ref="F203:F204"/>
    <mergeCell ref="F205:F206"/>
    <mergeCell ref="F207:F208"/>
    <mergeCell ref="F209:F210"/>
    <mergeCell ref="F211:F212"/>
    <mergeCell ref="F223:F224"/>
    <mergeCell ref="G237:G244"/>
    <mergeCell ref="H237:H244"/>
    <mergeCell ref="A199:I199"/>
    <mergeCell ref="G166:G181"/>
    <mergeCell ref="H166:H181"/>
    <mergeCell ref="I166:I181"/>
    <mergeCell ref="F166:F167"/>
    <mergeCell ref="F168:F169"/>
    <mergeCell ref="F170:F171"/>
    <mergeCell ref="F172:F173"/>
    <mergeCell ref="F174:F175"/>
    <mergeCell ref="F176:F177"/>
    <mergeCell ref="F178:F179"/>
    <mergeCell ref="F180:F181"/>
    <mergeCell ref="L15:L19"/>
    <mergeCell ref="L161:L162"/>
    <mergeCell ref="L119:L123"/>
    <mergeCell ref="L124:L127"/>
    <mergeCell ref="K119:K123"/>
    <mergeCell ref="L110:L118"/>
    <mergeCell ref="K15:K19"/>
    <mergeCell ref="K124:K127"/>
    <mergeCell ref="L80:L95"/>
    <mergeCell ref="K80:K95"/>
    <mergeCell ref="K110:K118"/>
    <mergeCell ref="K131:K147"/>
    <mergeCell ref="L131:L147"/>
    <mergeCell ref="I237:I244"/>
    <mergeCell ref="F213:F214"/>
    <mergeCell ref="F215:F216"/>
    <mergeCell ref="F217:F218"/>
    <mergeCell ref="F219:F220"/>
    <mergeCell ref="F221:F222"/>
  </mergeCells>
  <phoneticPr fontId="35" type="noConversion"/>
  <conditionalFormatting sqref="E300:F1048576 F298:F299 E1:F10 E109:F109 E287:F297">
    <cfRule type="duplicateValues" dxfId="0" priority="1"/>
  </conditionalFormatting>
  <dataValidations disablePrompts="1" count="1">
    <dataValidation type="custom" allowBlank="1" showInputMessage="1" showErrorMessage="1" sqref="L1:L2 L9:L11 L109 L160 L286:L65603 L163:L282" xr:uid="{00000000-0002-0000-0000-000000000000}">
      <formula1>CELL("40")</formula1>
    </dataValidation>
  </dataValidations>
  <pageMargins left="0.7" right="0.7" top="0.75" bottom="0.75" header="0.3" footer="0.3"/>
  <pageSetup orientation="portrait" r:id="rId1"/>
  <headerFooter>
    <oddFooter>&amp;L_x000D_&amp;1#&amp;"Calibri"&amp;8&amp;K000000 Sensitivity: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heck_IO">
                <anchor moveWithCells="1" sizeWithCells="1">
                  <from>
                    <xdr:col>0</xdr:col>
                    <xdr:colOff>228600</xdr:colOff>
                    <xdr:row>2</xdr:row>
                    <xdr:rowOff>137160</xdr:rowOff>
                  </from>
                  <to>
                    <xdr:col>1</xdr:col>
                    <xdr:colOff>861060</xdr:colOff>
                    <xdr:row>4</xdr:row>
                    <xdr:rowOff>114300</xdr:rowOff>
                  </to>
                </anchor>
              </controlPr>
            </control>
          </mc:Choice>
        </mc:AlternateContent>
        <mc:AlternateContent xmlns:mc="http://schemas.openxmlformats.org/markup-compatibility/2006">
          <mc:Choice Requires="x14">
            <control shapeId="1028" r:id="rId5" name="Button 4">
              <controlPr defaultSize="0" print="0" autoFill="0" autoPict="0" macro="[1]!Check_IO">
                <anchor moveWithCells="1" sizeWithCells="1">
                  <from>
                    <xdr:col>0</xdr:col>
                    <xdr:colOff>228600</xdr:colOff>
                    <xdr:row>2</xdr:row>
                    <xdr:rowOff>137160</xdr:rowOff>
                  </from>
                  <to>
                    <xdr:col>1</xdr:col>
                    <xdr:colOff>861060</xdr:colOff>
                    <xdr:row>4</xdr:row>
                    <xdr:rowOff>114300</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F2096-DC40-49CE-B2FF-02C2768BCE84}">
  <dimension ref="A1:F109"/>
  <sheetViews>
    <sheetView topLeftCell="A101" zoomScale="70" zoomScaleNormal="70" workbookViewId="0">
      <selection activeCell="A71" sqref="A71:F109"/>
    </sheetView>
  </sheetViews>
  <sheetFormatPr defaultRowHeight="13.2"/>
  <cols>
    <col min="1" max="1" width="6.6640625" style="155" bestFit="1" customWidth="1"/>
    <col min="2" max="2" width="61.88671875" customWidth="1"/>
    <col min="3" max="3" width="48.44140625" bestFit="1" customWidth="1"/>
    <col min="4" max="4" width="11.109375" bestFit="1" customWidth="1"/>
    <col min="5" max="5" width="11.109375" customWidth="1"/>
    <col min="6" max="6" width="13.5546875" customWidth="1"/>
  </cols>
  <sheetData>
    <row r="1" spans="1:6" ht="19.95" customHeight="1">
      <c r="A1" s="92" t="s">
        <v>19</v>
      </c>
      <c r="B1" s="91" t="s">
        <v>55</v>
      </c>
      <c r="C1" s="91" t="s">
        <v>30</v>
      </c>
      <c r="D1" s="92" t="s">
        <v>21</v>
      </c>
      <c r="E1" s="92"/>
      <c r="F1" s="92" t="s">
        <v>27</v>
      </c>
    </row>
    <row r="2" spans="1:6" ht="19.95" customHeight="1">
      <c r="A2" s="148">
        <v>1</v>
      </c>
      <c r="B2" s="56" t="s">
        <v>168</v>
      </c>
      <c r="C2" s="67" t="s">
        <v>616</v>
      </c>
      <c r="D2" s="30" t="s">
        <v>92</v>
      </c>
      <c r="E2" s="103" t="s">
        <v>693</v>
      </c>
      <c r="F2" s="149" t="s">
        <v>693</v>
      </c>
    </row>
    <row r="3" spans="1:6" ht="19.95" customHeight="1">
      <c r="A3" s="148">
        <v>2</v>
      </c>
      <c r="B3" s="56" t="s">
        <v>169</v>
      </c>
      <c r="C3" s="67" t="s">
        <v>369</v>
      </c>
      <c r="D3" s="30" t="s">
        <v>77</v>
      </c>
      <c r="E3" s="103" t="s">
        <v>693</v>
      </c>
      <c r="F3" s="150"/>
    </row>
    <row r="4" spans="1:6" ht="19.95" customHeight="1">
      <c r="A4" s="148">
        <v>3</v>
      </c>
      <c r="B4" s="56" t="s">
        <v>170</v>
      </c>
      <c r="C4" s="67" t="s">
        <v>334</v>
      </c>
      <c r="D4" s="30" t="s">
        <v>78</v>
      </c>
      <c r="E4" s="103" t="s">
        <v>693</v>
      </c>
      <c r="F4" s="150"/>
    </row>
    <row r="5" spans="1:6" ht="19.95" customHeight="1">
      <c r="A5" s="148">
        <v>4</v>
      </c>
      <c r="B5" s="56" t="s">
        <v>171</v>
      </c>
      <c r="C5" s="67" t="s">
        <v>335</v>
      </c>
      <c r="D5" s="30" t="s">
        <v>79</v>
      </c>
      <c r="E5" s="103" t="s">
        <v>693</v>
      </c>
      <c r="F5" s="150"/>
    </row>
    <row r="6" spans="1:6" ht="19.95" customHeight="1">
      <c r="A6" s="148">
        <v>5</v>
      </c>
      <c r="B6" s="56" t="s">
        <v>172</v>
      </c>
      <c r="C6" s="68" t="s">
        <v>343</v>
      </c>
      <c r="D6" s="30" t="s">
        <v>81</v>
      </c>
      <c r="E6" s="103" t="s">
        <v>693</v>
      </c>
      <c r="F6" s="150"/>
    </row>
    <row r="7" spans="1:6" ht="19.95" customHeight="1">
      <c r="A7" s="148">
        <v>6</v>
      </c>
      <c r="B7" s="56" t="s">
        <v>173</v>
      </c>
      <c r="C7" s="67" t="s">
        <v>344</v>
      </c>
      <c r="D7" s="30" t="s">
        <v>82</v>
      </c>
      <c r="E7" s="103" t="s">
        <v>693</v>
      </c>
      <c r="F7" s="150"/>
    </row>
    <row r="8" spans="1:6" ht="19.95" customHeight="1">
      <c r="A8" s="148">
        <v>7</v>
      </c>
      <c r="B8" s="49" t="s">
        <v>174</v>
      </c>
      <c r="C8" s="67" t="s">
        <v>345</v>
      </c>
      <c r="D8" s="30" t="s">
        <v>94</v>
      </c>
      <c r="E8" s="103" t="s">
        <v>693</v>
      </c>
      <c r="F8" s="150"/>
    </row>
    <row r="9" spans="1:6" ht="19.95" customHeight="1">
      <c r="A9" s="148">
        <v>8</v>
      </c>
      <c r="B9" s="151"/>
      <c r="C9" s="151"/>
      <c r="D9" s="30"/>
      <c r="E9" s="103" t="s">
        <v>693</v>
      </c>
      <c r="F9" s="152"/>
    </row>
    <row r="11" spans="1:6" ht="19.95" customHeight="1">
      <c r="A11" s="92" t="s">
        <v>19</v>
      </c>
      <c r="B11" s="91" t="s">
        <v>55</v>
      </c>
      <c r="C11" s="91" t="s">
        <v>30</v>
      </c>
      <c r="D11" s="92" t="s">
        <v>21</v>
      </c>
      <c r="E11" s="92"/>
      <c r="F11" s="92" t="s">
        <v>27</v>
      </c>
    </row>
    <row r="12" spans="1:6" ht="19.95" customHeight="1">
      <c r="A12" s="148">
        <v>1</v>
      </c>
      <c r="B12" s="56" t="s">
        <v>612</v>
      </c>
      <c r="C12" s="67" t="s">
        <v>613</v>
      </c>
      <c r="D12" s="30" t="s">
        <v>95</v>
      </c>
      <c r="E12" s="103" t="s">
        <v>694</v>
      </c>
      <c r="F12" s="149" t="s">
        <v>694</v>
      </c>
    </row>
    <row r="13" spans="1:6" ht="19.95" customHeight="1">
      <c r="A13" s="148">
        <v>2</v>
      </c>
      <c r="B13" s="56" t="s">
        <v>176</v>
      </c>
      <c r="C13" s="67" t="s">
        <v>370</v>
      </c>
      <c r="D13" s="30" t="s">
        <v>96</v>
      </c>
      <c r="E13" s="103" t="s">
        <v>694</v>
      </c>
      <c r="F13" s="150"/>
    </row>
    <row r="14" spans="1:6" ht="19.95" customHeight="1">
      <c r="A14" s="148">
        <v>3</v>
      </c>
      <c r="B14" s="56" t="s">
        <v>177</v>
      </c>
      <c r="C14" s="67" t="s">
        <v>377</v>
      </c>
      <c r="D14" s="30" t="s">
        <v>97</v>
      </c>
      <c r="E14" s="103" t="s">
        <v>694</v>
      </c>
      <c r="F14" s="150"/>
    </row>
    <row r="15" spans="1:6" ht="19.95" customHeight="1">
      <c r="A15" s="148">
        <v>4</v>
      </c>
      <c r="B15" s="56" t="s">
        <v>178</v>
      </c>
      <c r="C15" s="67" t="s">
        <v>378</v>
      </c>
      <c r="D15" s="30" t="s">
        <v>98</v>
      </c>
      <c r="E15" s="103" t="s">
        <v>694</v>
      </c>
      <c r="F15" s="150"/>
    </row>
    <row r="16" spans="1:6" ht="19.95" customHeight="1">
      <c r="A16" s="148">
        <v>5</v>
      </c>
      <c r="B16" s="56" t="s">
        <v>183</v>
      </c>
      <c r="C16" s="67" t="s">
        <v>373</v>
      </c>
      <c r="D16" s="30" t="s">
        <v>103</v>
      </c>
      <c r="E16" s="103" t="s">
        <v>694</v>
      </c>
      <c r="F16" s="150"/>
    </row>
    <row r="17" spans="1:6" ht="19.95" customHeight="1">
      <c r="A17" s="148">
        <v>6</v>
      </c>
      <c r="B17" s="56" t="s">
        <v>184</v>
      </c>
      <c r="C17" s="67" t="s">
        <v>374</v>
      </c>
      <c r="D17" s="30" t="s">
        <v>104</v>
      </c>
      <c r="E17" s="103" t="s">
        <v>694</v>
      </c>
      <c r="F17" s="150"/>
    </row>
    <row r="18" spans="1:6" ht="19.95" customHeight="1">
      <c r="A18" s="148">
        <v>7</v>
      </c>
      <c r="B18" s="56" t="s">
        <v>185</v>
      </c>
      <c r="C18" s="67" t="s">
        <v>375</v>
      </c>
      <c r="D18" s="30" t="s">
        <v>105</v>
      </c>
      <c r="E18" s="103" t="s">
        <v>694</v>
      </c>
      <c r="F18" s="150"/>
    </row>
    <row r="19" spans="1:6" ht="19.95" customHeight="1">
      <c r="A19" s="148">
        <v>8</v>
      </c>
      <c r="B19" s="56" t="s">
        <v>186</v>
      </c>
      <c r="C19" s="67" t="s">
        <v>376</v>
      </c>
      <c r="D19" s="30" t="s">
        <v>106</v>
      </c>
      <c r="E19" s="103" t="s">
        <v>694</v>
      </c>
      <c r="F19" s="152"/>
    </row>
    <row r="21" spans="1:6" ht="19.95" customHeight="1">
      <c r="A21" s="92" t="s">
        <v>19</v>
      </c>
      <c r="B21" s="91" t="s">
        <v>55</v>
      </c>
      <c r="C21" s="91" t="s">
        <v>30</v>
      </c>
      <c r="D21" s="92" t="s">
        <v>21</v>
      </c>
      <c r="E21" s="92"/>
      <c r="F21" s="92" t="s">
        <v>27</v>
      </c>
    </row>
    <row r="22" spans="1:6" ht="19.95" customHeight="1">
      <c r="A22" s="148">
        <v>1</v>
      </c>
      <c r="B22" s="56" t="s">
        <v>179</v>
      </c>
      <c r="C22" s="67" t="s">
        <v>371</v>
      </c>
      <c r="D22" s="30" t="s">
        <v>99</v>
      </c>
      <c r="E22" s="103" t="s">
        <v>695</v>
      </c>
      <c r="F22" s="149" t="s">
        <v>695</v>
      </c>
    </row>
    <row r="23" spans="1:6" ht="19.95" customHeight="1">
      <c r="A23" s="148">
        <v>2</v>
      </c>
      <c r="B23" s="56" t="s">
        <v>180</v>
      </c>
      <c r="C23" s="67" t="s">
        <v>372</v>
      </c>
      <c r="D23" s="30" t="s">
        <v>100</v>
      </c>
      <c r="E23" s="103" t="s">
        <v>695</v>
      </c>
      <c r="F23" s="150"/>
    </row>
    <row r="24" spans="1:6" ht="19.95" customHeight="1">
      <c r="A24" s="148">
        <v>3</v>
      </c>
      <c r="B24" s="56" t="s">
        <v>181</v>
      </c>
      <c r="C24" s="67" t="s">
        <v>606</v>
      </c>
      <c r="D24" s="30" t="s">
        <v>101</v>
      </c>
      <c r="E24" s="103" t="s">
        <v>695</v>
      </c>
      <c r="F24" s="150"/>
    </row>
    <row r="25" spans="1:6" ht="19.95" customHeight="1">
      <c r="A25" s="148">
        <v>4</v>
      </c>
      <c r="B25" s="56" t="s">
        <v>182</v>
      </c>
      <c r="C25" s="67" t="s">
        <v>607</v>
      </c>
      <c r="D25" s="30" t="s">
        <v>102</v>
      </c>
      <c r="E25" s="103" t="s">
        <v>695</v>
      </c>
      <c r="F25" s="150"/>
    </row>
    <row r="26" spans="1:6" ht="19.95" customHeight="1">
      <c r="A26" s="148">
        <v>5</v>
      </c>
      <c r="B26" s="56" t="s">
        <v>191</v>
      </c>
      <c r="C26" s="67" t="s">
        <v>383</v>
      </c>
      <c r="D26" s="30" t="s">
        <v>112</v>
      </c>
      <c r="E26" s="103" t="s">
        <v>695</v>
      </c>
      <c r="F26" s="150"/>
    </row>
    <row r="27" spans="1:6" ht="19.95" customHeight="1">
      <c r="A27" s="148">
        <v>6</v>
      </c>
      <c r="B27" s="56" t="s">
        <v>192</v>
      </c>
      <c r="C27" s="67" t="s">
        <v>384</v>
      </c>
      <c r="D27" s="30" t="s">
        <v>113</v>
      </c>
      <c r="E27" s="103" t="s">
        <v>695</v>
      </c>
      <c r="F27" s="150"/>
    </row>
    <row r="28" spans="1:6" ht="19.95" customHeight="1">
      <c r="A28" s="148">
        <v>7</v>
      </c>
      <c r="B28" s="56" t="s">
        <v>193</v>
      </c>
      <c r="C28" s="67" t="s">
        <v>385</v>
      </c>
      <c r="D28" s="30" t="s">
        <v>114</v>
      </c>
      <c r="E28" s="103" t="s">
        <v>695</v>
      </c>
      <c r="F28" s="150"/>
    </row>
    <row r="29" spans="1:6" ht="19.95" customHeight="1">
      <c r="A29" s="148">
        <v>8</v>
      </c>
      <c r="B29" s="56" t="s">
        <v>194</v>
      </c>
      <c r="C29" s="67" t="s">
        <v>386</v>
      </c>
      <c r="D29" s="30" t="s">
        <v>115</v>
      </c>
      <c r="E29" s="103" t="s">
        <v>695</v>
      </c>
      <c r="F29" s="152"/>
    </row>
    <row r="31" spans="1:6" ht="19.95" customHeight="1">
      <c r="A31" s="92" t="s">
        <v>19</v>
      </c>
      <c r="B31" s="91" t="s">
        <v>55</v>
      </c>
      <c r="C31" s="91" t="s">
        <v>30</v>
      </c>
      <c r="D31" s="92" t="s">
        <v>21</v>
      </c>
      <c r="E31" s="92"/>
      <c r="F31" s="92" t="s">
        <v>27</v>
      </c>
    </row>
    <row r="32" spans="1:6" ht="19.95" customHeight="1">
      <c r="A32" s="148">
        <v>1</v>
      </c>
      <c r="B32" s="56" t="s">
        <v>187</v>
      </c>
      <c r="C32" s="67" t="s">
        <v>379</v>
      </c>
      <c r="D32" s="30" t="s">
        <v>124</v>
      </c>
      <c r="E32" s="103" t="s">
        <v>696</v>
      </c>
      <c r="F32" s="149" t="s">
        <v>696</v>
      </c>
    </row>
    <row r="33" spans="1:6" ht="19.95" customHeight="1">
      <c r="A33" s="148">
        <v>2</v>
      </c>
      <c r="B33" s="56" t="s">
        <v>188</v>
      </c>
      <c r="C33" s="67" t="s">
        <v>380</v>
      </c>
      <c r="D33" s="30" t="s">
        <v>109</v>
      </c>
      <c r="E33" s="103" t="s">
        <v>696</v>
      </c>
      <c r="F33" s="150"/>
    </row>
    <row r="34" spans="1:6" ht="19.95" customHeight="1">
      <c r="A34" s="148">
        <v>3</v>
      </c>
      <c r="B34" s="56" t="s">
        <v>196</v>
      </c>
      <c r="C34" s="67" t="s">
        <v>387</v>
      </c>
      <c r="D34" s="30" t="s">
        <v>116</v>
      </c>
      <c r="E34" s="103" t="s">
        <v>696</v>
      </c>
      <c r="F34" s="150"/>
    </row>
    <row r="35" spans="1:6" ht="19.95" customHeight="1">
      <c r="A35" s="148">
        <v>4</v>
      </c>
      <c r="B35" s="56" t="s">
        <v>197</v>
      </c>
      <c r="C35" s="67" t="s">
        <v>388</v>
      </c>
      <c r="D35" s="30" t="s">
        <v>117</v>
      </c>
      <c r="E35" s="103" t="s">
        <v>696</v>
      </c>
      <c r="F35" s="150"/>
    </row>
    <row r="36" spans="1:6" ht="19.95" customHeight="1">
      <c r="A36" s="148">
        <v>5</v>
      </c>
      <c r="B36" s="70" t="s">
        <v>198</v>
      </c>
      <c r="C36" s="67" t="s">
        <v>389</v>
      </c>
      <c r="D36" s="30" t="s">
        <v>118</v>
      </c>
      <c r="E36" s="103" t="s">
        <v>696</v>
      </c>
      <c r="F36" s="150"/>
    </row>
    <row r="37" spans="1:6" ht="19.95" customHeight="1">
      <c r="A37" s="148">
        <v>6</v>
      </c>
      <c r="B37" s="70" t="s">
        <v>199</v>
      </c>
      <c r="C37" s="67" t="s">
        <v>390</v>
      </c>
      <c r="D37" s="30" t="s">
        <v>119</v>
      </c>
      <c r="E37" s="103" t="s">
        <v>696</v>
      </c>
      <c r="F37" s="150"/>
    </row>
    <row r="38" spans="1:6" ht="19.95" customHeight="1">
      <c r="A38" s="148">
        <v>7</v>
      </c>
      <c r="B38" s="70" t="s">
        <v>195</v>
      </c>
      <c r="C38" s="67" t="s">
        <v>614</v>
      </c>
      <c r="D38" s="30" t="s">
        <v>120</v>
      </c>
      <c r="E38" s="103" t="s">
        <v>696</v>
      </c>
      <c r="F38" s="150"/>
    </row>
    <row r="39" spans="1:6" ht="19.95" customHeight="1">
      <c r="A39" s="148">
        <v>8</v>
      </c>
      <c r="B39" s="56"/>
      <c r="C39" s="67"/>
      <c r="D39" s="30"/>
      <c r="E39" s="103" t="s">
        <v>696</v>
      </c>
      <c r="F39" s="152"/>
    </row>
    <row r="41" spans="1:6" ht="19.95" customHeight="1">
      <c r="A41" s="92" t="s">
        <v>19</v>
      </c>
      <c r="B41" s="91" t="s">
        <v>55</v>
      </c>
      <c r="C41" s="91" t="s">
        <v>30</v>
      </c>
      <c r="D41" s="92" t="s">
        <v>21</v>
      </c>
      <c r="E41" s="92"/>
      <c r="F41" s="92" t="s">
        <v>27</v>
      </c>
    </row>
    <row r="42" spans="1:6" ht="19.95" customHeight="1">
      <c r="A42" s="148">
        <v>1</v>
      </c>
      <c r="B42" s="56" t="s">
        <v>189</v>
      </c>
      <c r="C42" s="67" t="s">
        <v>381</v>
      </c>
      <c r="D42" s="30" t="s">
        <v>110</v>
      </c>
      <c r="E42" s="103" t="s">
        <v>697</v>
      </c>
      <c r="F42" s="149" t="s">
        <v>697</v>
      </c>
    </row>
    <row r="43" spans="1:6" ht="19.95" customHeight="1">
      <c r="A43" s="148">
        <v>2</v>
      </c>
      <c r="B43" s="56" t="s">
        <v>190</v>
      </c>
      <c r="C43" s="67" t="s">
        <v>382</v>
      </c>
      <c r="D43" s="30" t="s">
        <v>111</v>
      </c>
      <c r="E43" s="103" t="s">
        <v>697</v>
      </c>
      <c r="F43" s="150"/>
    </row>
    <row r="44" spans="1:6" ht="19.95" customHeight="1">
      <c r="A44" s="148">
        <v>3</v>
      </c>
      <c r="B44" s="49" t="s">
        <v>211</v>
      </c>
      <c r="C44" s="71" t="s">
        <v>404</v>
      </c>
      <c r="D44" s="30" t="s">
        <v>138</v>
      </c>
      <c r="E44" s="103" t="s">
        <v>697</v>
      </c>
      <c r="F44" s="150"/>
    </row>
    <row r="45" spans="1:6" ht="19.95" customHeight="1">
      <c r="A45" s="148">
        <v>4</v>
      </c>
      <c r="B45" s="49" t="s">
        <v>212</v>
      </c>
      <c r="C45" s="71" t="s">
        <v>405</v>
      </c>
      <c r="D45" s="30" t="s">
        <v>139</v>
      </c>
      <c r="E45" s="103" t="s">
        <v>697</v>
      </c>
      <c r="F45" s="150"/>
    </row>
    <row r="46" spans="1:6" ht="19.95" customHeight="1">
      <c r="A46" s="148">
        <v>5</v>
      </c>
      <c r="B46" s="49" t="s">
        <v>230</v>
      </c>
      <c r="C46" s="71" t="s">
        <v>416</v>
      </c>
      <c r="D46" s="30" t="s">
        <v>214</v>
      </c>
      <c r="E46" s="103" t="s">
        <v>697</v>
      </c>
      <c r="F46" s="150"/>
    </row>
    <row r="47" spans="1:6" ht="19.95" customHeight="1">
      <c r="A47" s="148">
        <v>6</v>
      </c>
      <c r="B47" s="49" t="s">
        <v>231</v>
      </c>
      <c r="C47" s="71" t="s">
        <v>417</v>
      </c>
      <c r="D47" s="30" t="s">
        <v>215</v>
      </c>
      <c r="E47" s="103" t="s">
        <v>697</v>
      </c>
      <c r="F47" s="150"/>
    </row>
    <row r="48" spans="1:6" ht="19.95" customHeight="1">
      <c r="A48" s="148">
        <v>7</v>
      </c>
      <c r="B48" s="49" t="s">
        <v>232</v>
      </c>
      <c r="C48" s="71" t="s">
        <v>418</v>
      </c>
      <c r="D48" s="30" t="s">
        <v>216</v>
      </c>
      <c r="E48" s="103" t="s">
        <v>697</v>
      </c>
      <c r="F48" s="150"/>
    </row>
    <row r="49" spans="1:6" ht="19.95" customHeight="1">
      <c r="A49" s="148">
        <v>8</v>
      </c>
      <c r="B49" s="56"/>
      <c r="C49" s="67"/>
      <c r="D49" s="30"/>
      <c r="E49" s="103" t="s">
        <v>697</v>
      </c>
      <c r="F49" s="152"/>
    </row>
    <row r="51" spans="1:6" ht="19.95" customHeight="1">
      <c r="A51" s="92" t="s">
        <v>19</v>
      </c>
      <c r="B51" s="91" t="s">
        <v>55</v>
      </c>
      <c r="C51" s="91" t="s">
        <v>30</v>
      </c>
      <c r="D51" s="92" t="s">
        <v>21</v>
      </c>
      <c r="E51" s="92"/>
      <c r="F51" s="92" t="s">
        <v>27</v>
      </c>
    </row>
    <row r="52" spans="1:6" ht="19.95" customHeight="1">
      <c r="A52" s="148">
        <v>1</v>
      </c>
      <c r="B52" s="49" t="s">
        <v>200</v>
      </c>
      <c r="C52" s="49" t="s">
        <v>393</v>
      </c>
      <c r="D52" s="30" t="s">
        <v>125</v>
      </c>
      <c r="E52" s="103" t="s">
        <v>698</v>
      </c>
      <c r="F52" s="149" t="s">
        <v>698</v>
      </c>
    </row>
    <row r="53" spans="1:6" ht="19.95" customHeight="1">
      <c r="A53" s="148">
        <v>2</v>
      </c>
      <c r="B53" s="49" t="s">
        <v>202</v>
      </c>
      <c r="C53" s="49" t="s">
        <v>395</v>
      </c>
      <c r="D53" s="30" t="s">
        <v>126</v>
      </c>
      <c r="E53" s="103" t="s">
        <v>698</v>
      </c>
      <c r="F53" s="150"/>
    </row>
    <row r="54" spans="1:6" ht="19.95" customHeight="1">
      <c r="A54" s="148">
        <v>3</v>
      </c>
      <c r="B54" s="49" t="s">
        <v>203</v>
      </c>
      <c r="C54" s="49" t="s">
        <v>597</v>
      </c>
      <c r="D54" s="30" t="s">
        <v>127</v>
      </c>
      <c r="E54" s="103" t="s">
        <v>698</v>
      </c>
      <c r="F54" s="150"/>
    </row>
    <row r="55" spans="1:6" ht="19.95" customHeight="1">
      <c r="A55" s="148">
        <v>4</v>
      </c>
      <c r="B55" s="49"/>
      <c r="C55" s="71"/>
      <c r="D55" s="30"/>
      <c r="E55" s="103" t="s">
        <v>698</v>
      </c>
      <c r="F55" s="150"/>
    </row>
    <row r="56" spans="1:6" ht="19.95" customHeight="1">
      <c r="A56" s="148">
        <v>5</v>
      </c>
      <c r="B56" s="49"/>
      <c r="C56" s="71"/>
      <c r="D56" s="30"/>
      <c r="E56" s="103" t="s">
        <v>698</v>
      </c>
      <c r="F56" s="150"/>
    </row>
    <row r="57" spans="1:6" ht="19.95" customHeight="1">
      <c r="A57" s="148">
        <v>6</v>
      </c>
      <c r="B57" s="49"/>
      <c r="C57" s="71"/>
      <c r="D57" s="30"/>
      <c r="E57" s="103" t="s">
        <v>698</v>
      </c>
      <c r="F57" s="150"/>
    </row>
    <row r="58" spans="1:6" ht="19.95" customHeight="1">
      <c r="A58" s="148">
        <v>7</v>
      </c>
      <c r="B58" s="49"/>
      <c r="C58" s="71"/>
      <c r="D58" s="30"/>
      <c r="E58" s="103" t="s">
        <v>698</v>
      </c>
      <c r="F58" s="150"/>
    </row>
    <row r="59" spans="1:6" ht="19.95" customHeight="1">
      <c r="A59" s="148">
        <v>8</v>
      </c>
      <c r="B59" s="56"/>
      <c r="C59" s="67"/>
      <c r="D59" s="30"/>
      <c r="E59" s="103" t="s">
        <v>698</v>
      </c>
      <c r="F59" s="152"/>
    </row>
    <row r="61" spans="1:6" ht="19.95" customHeight="1">
      <c r="A61" s="92" t="s">
        <v>19</v>
      </c>
      <c r="B61" s="91" t="s">
        <v>55</v>
      </c>
      <c r="C61" s="91" t="s">
        <v>30</v>
      </c>
      <c r="D61" s="92" t="s">
        <v>21</v>
      </c>
      <c r="E61" s="92"/>
      <c r="F61" s="92" t="s">
        <v>27</v>
      </c>
    </row>
    <row r="62" spans="1:6" ht="19.95" customHeight="1">
      <c r="A62" s="148">
        <v>1</v>
      </c>
      <c r="B62" s="49" t="s">
        <v>562</v>
      </c>
      <c r="C62" s="49"/>
      <c r="D62" s="30"/>
      <c r="E62" s="103" t="s">
        <v>699</v>
      </c>
      <c r="F62" s="149" t="s">
        <v>699</v>
      </c>
    </row>
    <row r="63" spans="1:6" ht="19.95" customHeight="1">
      <c r="A63" s="148">
        <v>2</v>
      </c>
      <c r="B63" s="49" t="s">
        <v>563</v>
      </c>
      <c r="C63" s="49"/>
      <c r="D63" s="30"/>
      <c r="E63" s="103" t="s">
        <v>699</v>
      </c>
      <c r="F63" s="150"/>
    </row>
    <row r="64" spans="1:6" ht="19.95" customHeight="1">
      <c r="A64" s="148">
        <v>3</v>
      </c>
      <c r="B64" s="49" t="s">
        <v>576</v>
      </c>
      <c r="C64" s="49"/>
      <c r="D64" s="30"/>
      <c r="E64" s="103" t="s">
        <v>699</v>
      </c>
      <c r="F64" s="150"/>
    </row>
    <row r="65" spans="1:6" ht="19.95" customHeight="1">
      <c r="A65" s="148">
        <v>4</v>
      </c>
      <c r="B65" s="49" t="s">
        <v>577</v>
      </c>
      <c r="C65" s="71"/>
      <c r="D65" s="30"/>
      <c r="E65" s="103" t="s">
        <v>699</v>
      </c>
      <c r="F65" s="150"/>
    </row>
    <row r="66" spans="1:6" ht="19.95" customHeight="1">
      <c r="A66" s="148">
        <v>5</v>
      </c>
      <c r="B66" s="49" t="s">
        <v>583</v>
      </c>
      <c r="C66" s="71"/>
      <c r="D66" s="30"/>
      <c r="E66" s="103" t="s">
        <v>699</v>
      </c>
      <c r="F66" s="150"/>
    </row>
    <row r="67" spans="1:6" ht="19.95" customHeight="1">
      <c r="A67" s="148">
        <v>6</v>
      </c>
      <c r="B67" s="49"/>
      <c r="C67" s="71"/>
      <c r="D67" s="30"/>
      <c r="E67" s="103" t="s">
        <v>699</v>
      </c>
      <c r="F67" s="150"/>
    </row>
    <row r="68" spans="1:6" ht="19.95" customHeight="1">
      <c r="A68" s="148">
        <v>7</v>
      </c>
      <c r="B68" s="49"/>
      <c r="C68" s="71"/>
      <c r="D68" s="30"/>
      <c r="E68" s="103" t="s">
        <v>699</v>
      </c>
      <c r="F68" s="150"/>
    </row>
    <row r="69" spans="1:6" ht="19.95" customHeight="1">
      <c r="A69" s="148">
        <v>8</v>
      </c>
      <c r="B69" s="56"/>
      <c r="C69" s="67"/>
      <c r="D69" s="30"/>
      <c r="E69" s="103" t="s">
        <v>699</v>
      </c>
      <c r="F69" s="152"/>
    </row>
    <row r="71" spans="1:6" ht="19.95" customHeight="1">
      <c r="A71" s="92" t="s">
        <v>19</v>
      </c>
      <c r="B71" s="91" t="s">
        <v>55</v>
      </c>
      <c r="C71" s="91" t="s">
        <v>30</v>
      </c>
      <c r="D71" s="92" t="s">
        <v>21</v>
      </c>
      <c r="E71" s="92"/>
      <c r="F71" s="92" t="s">
        <v>27</v>
      </c>
    </row>
    <row r="72" spans="1:6" ht="19.95" customHeight="1">
      <c r="A72" s="153">
        <v>1</v>
      </c>
      <c r="B72" s="49" t="s">
        <v>565</v>
      </c>
      <c r="C72" s="154"/>
      <c r="D72" s="30"/>
      <c r="E72" s="103" t="s">
        <v>700</v>
      </c>
      <c r="F72" s="149" t="s">
        <v>700</v>
      </c>
    </row>
    <row r="73" spans="1:6" ht="19.95" customHeight="1">
      <c r="A73" s="153">
        <v>2</v>
      </c>
      <c r="B73" s="49" t="s">
        <v>566</v>
      </c>
      <c r="C73" s="154"/>
      <c r="D73" s="30"/>
      <c r="E73" s="103" t="s">
        <v>700</v>
      </c>
      <c r="F73" s="150"/>
    </row>
    <row r="74" spans="1:6" ht="19.95" customHeight="1">
      <c r="A74" s="153">
        <v>3</v>
      </c>
      <c r="B74" s="49" t="s">
        <v>564</v>
      </c>
      <c r="C74" s="154"/>
      <c r="D74" s="30"/>
      <c r="E74" s="103" t="s">
        <v>700</v>
      </c>
      <c r="F74" s="150"/>
    </row>
    <row r="75" spans="1:6" ht="19.95" customHeight="1">
      <c r="A75" s="153">
        <v>4</v>
      </c>
      <c r="B75" s="49" t="s">
        <v>568</v>
      </c>
      <c r="C75" s="154"/>
      <c r="D75" s="30"/>
      <c r="E75" s="103" t="s">
        <v>700</v>
      </c>
      <c r="F75" s="150"/>
    </row>
    <row r="76" spans="1:6" ht="19.95" customHeight="1">
      <c r="A76" s="153">
        <v>5</v>
      </c>
      <c r="B76" s="49" t="s">
        <v>569</v>
      </c>
      <c r="C76" s="154"/>
      <c r="D76" s="30"/>
      <c r="E76" s="103" t="s">
        <v>700</v>
      </c>
      <c r="F76" s="150"/>
    </row>
    <row r="77" spans="1:6" ht="19.95" customHeight="1">
      <c r="A77" s="153">
        <v>6</v>
      </c>
      <c r="B77" s="49" t="s">
        <v>567</v>
      </c>
      <c r="C77" s="49"/>
      <c r="D77" s="30"/>
      <c r="E77" s="103" t="s">
        <v>700</v>
      </c>
      <c r="F77" s="150"/>
    </row>
    <row r="78" spans="1:6" ht="19.95" customHeight="1">
      <c r="A78" s="153">
        <v>7</v>
      </c>
      <c r="B78" s="151"/>
      <c r="C78" s="49"/>
      <c r="D78" s="30"/>
      <c r="E78" s="103" t="s">
        <v>700</v>
      </c>
      <c r="F78" s="150"/>
    </row>
    <row r="79" spans="1:6" ht="19.95" customHeight="1">
      <c r="A79" s="153">
        <v>8</v>
      </c>
      <c r="B79" s="151"/>
      <c r="C79" s="49"/>
      <c r="D79" s="30"/>
      <c r="E79" s="103" t="s">
        <v>700</v>
      </c>
      <c r="F79" s="152"/>
    </row>
    <row r="81" spans="1:6" ht="19.95" customHeight="1">
      <c r="A81" s="92" t="s">
        <v>19</v>
      </c>
      <c r="B81" s="91" t="s">
        <v>55</v>
      </c>
      <c r="C81" s="91" t="s">
        <v>30</v>
      </c>
      <c r="D81" s="92" t="s">
        <v>21</v>
      </c>
      <c r="E81" s="92"/>
      <c r="F81" s="92" t="s">
        <v>27</v>
      </c>
    </row>
    <row r="82" spans="1:6" ht="19.95" customHeight="1">
      <c r="A82" s="153">
        <v>1</v>
      </c>
      <c r="B82" s="49" t="s">
        <v>571</v>
      </c>
      <c r="C82" s="154"/>
      <c r="D82" s="30"/>
      <c r="E82" s="103" t="s">
        <v>701</v>
      </c>
      <c r="F82" s="149" t="s">
        <v>701</v>
      </c>
    </row>
    <row r="83" spans="1:6" ht="19.95" customHeight="1">
      <c r="A83" s="153">
        <v>2</v>
      </c>
      <c r="B83" s="49" t="s">
        <v>572</v>
      </c>
      <c r="C83" s="154"/>
      <c r="D83" s="30"/>
      <c r="E83" s="103" t="s">
        <v>701</v>
      </c>
      <c r="F83" s="150"/>
    </row>
    <row r="84" spans="1:6" ht="19.95" customHeight="1">
      <c r="A84" s="153">
        <v>3</v>
      </c>
      <c r="B84" s="49" t="s">
        <v>570</v>
      </c>
      <c r="C84" s="154"/>
      <c r="D84" s="30"/>
      <c r="E84" s="103" t="s">
        <v>701</v>
      </c>
      <c r="F84" s="150"/>
    </row>
    <row r="85" spans="1:6" ht="19.95" customHeight="1">
      <c r="A85" s="153">
        <v>4</v>
      </c>
      <c r="B85" s="49" t="s">
        <v>574</v>
      </c>
      <c r="C85" s="154"/>
      <c r="D85" s="30"/>
      <c r="E85" s="103" t="s">
        <v>701</v>
      </c>
      <c r="F85" s="150"/>
    </row>
    <row r="86" spans="1:6" ht="19.95" customHeight="1">
      <c r="A86" s="153">
        <v>5</v>
      </c>
      <c r="B86" s="49" t="s">
        <v>575</v>
      </c>
      <c r="C86" s="154"/>
      <c r="D86" s="30"/>
      <c r="E86" s="103" t="s">
        <v>701</v>
      </c>
      <c r="F86" s="150"/>
    </row>
    <row r="87" spans="1:6" ht="19.95" customHeight="1">
      <c r="A87" s="153">
        <v>6</v>
      </c>
      <c r="B87" s="49" t="s">
        <v>573</v>
      </c>
      <c r="C87" s="49"/>
      <c r="D87" s="30"/>
      <c r="E87" s="103" t="s">
        <v>701</v>
      </c>
      <c r="F87" s="150"/>
    </row>
    <row r="88" spans="1:6" ht="19.95" customHeight="1">
      <c r="A88" s="153">
        <v>7</v>
      </c>
      <c r="B88" s="151"/>
      <c r="C88" s="49"/>
      <c r="D88" s="30"/>
      <c r="E88" s="103" t="s">
        <v>701</v>
      </c>
      <c r="F88" s="150"/>
    </row>
    <row r="89" spans="1:6" ht="19.95" customHeight="1">
      <c r="A89" s="153">
        <v>8</v>
      </c>
      <c r="B89" s="151"/>
      <c r="C89" s="49"/>
      <c r="D89" s="30"/>
      <c r="E89" s="103" t="s">
        <v>701</v>
      </c>
      <c r="F89" s="152"/>
    </row>
    <row r="91" spans="1:6" ht="19.95" customHeight="1">
      <c r="A91" s="92" t="s">
        <v>19</v>
      </c>
      <c r="B91" s="91" t="s">
        <v>55</v>
      </c>
      <c r="C91" s="91" t="s">
        <v>30</v>
      </c>
      <c r="D91" s="92" t="s">
        <v>21</v>
      </c>
      <c r="E91" s="92"/>
      <c r="F91" s="92" t="s">
        <v>27</v>
      </c>
    </row>
    <row r="92" spans="1:6" ht="19.95" customHeight="1">
      <c r="A92" s="153">
        <v>1</v>
      </c>
      <c r="B92" s="72" t="s">
        <v>204</v>
      </c>
      <c r="C92" s="71" t="s">
        <v>396</v>
      </c>
      <c r="D92" s="30" t="s">
        <v>132</v>
      </c>
      <c r="E92" s="104" t="s">
        <v>702</v>
      </c>
      <c r="F92" s="149" t="s">
        <v>702</v>
      </c>
    </row>
    <row r="93" spans="1:6" ht="19.95" customHeight="1">
      <c r="A93" s="153">
        <v>2</v>
      </c>
      <c r="B93" s="49" t="s">
        <v>205</v>
      </c>
      <c r="C93" s="71" t="s">
        <v>598</v>
      </c>
      <c r="D93" s="30" t="s">
        <v>133</v>
      </c>
      <c r="E93" s="104" t="s">
        <v>702</v>
      </c>
      <c r="F93" s="150"/>
    </row>
    <row r="94" spans="1:6" ht="19.95" customHeight="1">
      <c r="A94" s="153">
        <v>3</v>
      </c>
      <c r="B94" s="49" t="s">
        <v>210</v>
      </c>
      <c r="C94" s="71" t="s">
        <v>403</v>
      </c>
      <c r="D94" s="30" t="s">
        <v>137</v>
      </c>
      <c r="E94" s="104" t="s">
        <v>702</v>
      </c>
      <c r="F94" s="150"/>
    </row>
    <row r="95" spans="1:6" ht="19.95" customHeight="1">
      <c r="A95" s="153">
        <v>4</v>
      </c>
      <c r="B95" s="49" t="s">
        <v>213</v>
      </c>
      <c r="C95" s="71" t="s">
        <v>406</v>
      </c>
      <c r="D95" s="30" t="s">
        <v>140</v>
      </c>
      <c r="E95" s="104" t="s">
        <v>702</v>
      </c>
      <c r="F95" s="150"/>
    </row>
    <row r="96" spans="1:6" ht="19.95" customHeight="1">
      <c r="A96" s="153">
        <v>5</v>
      </c>
      <c r="B96" s="49" t="s">
        <v>233</v>
      </c>
      <c r="C96" s="71" t="s">
        <v>419</v>
      </c>
      <c r="D96" s="30" t="s">
        <v>217</v>
      </c>
      <c r="E96" s="104" t="s">
        <v>702</v>
      </c>
      <c r="F96" s="150"/>
    </row>
    <row r="97" spans="1:6" ht="19.95" customHeight="1">
      <c r="A97" s="153">
        <v>6</v>
      </c>
      <c r="B97" s="49"/>
      <c r="C97" s="49"/>
      <c r="D97" s="30"/>
      <c r="E97" s="104" t="s">
        <v>702</v>
      </c>
      <c r="F97" s="150"/>
    </row>
    <row r="98" spans="1:6" ht="19.95" customHeight="1">
      <c r="A98" s="153">
        <v>7</v>
      </c>
      <c r="B98" s="151"/>
      <c r="C98" s="49"/>
      <c r="D98" s="30"/>
      <c r="E98" s="104" t="s">
        <v>702</v>
      </c>
      <c r="F98" s="150"/>
    </row>
    <row r="99" spans="1:6" ht="19.95" customHeight="1">
      <c r="A99" s="153">
        <v>8</v>
      </c>
      <c r="B99" s="151"/>
      <c r="C99" s="49"/>
      <c r="D99" s="30"/>
      <c r="E99" s="104" t="s">
        <v>702</v>
      </c>
      <c r="F99" s="152"/>
    </row>
    <row r="101" spans="1:6" ht="19.95" customHeight="1">
      <c r="A101" s="92" t="s">
        <v>19</v>
      </c>
      <c r="B101" s="91" t="s">
        <v>55</v>
      </c>
      <c r="C101" s="91" t="s">
        <v>30</v>
      </c>
      <c r="D101" s="92" t="s">
        <v>21</v>
      </c>
      <c r="E101" s="92"/>
      <c r="F101" s="92" t="s">
        <v>27</v>
      </c>
    </row>
    <row r="102" spans="1:6" ht="19.95" customHeight="1">
      <c r="A102" s="153">
        <v>1</v>
      </c>
      <c r="B102" s="49" t="s">
        <v>578</v>
      </c>
      <c r="C102" s="71"/>
      <c r="D102" s="30"/>
      <c r="E102" s="103" t="s">
        <v>703</v>
      </c>
      <c r="F102" s="149" t="s">
        <v>703</v>
      </c>
    </row>
    <row r="103" spans="1:6" ht="19.95" customHeight="1">
      <c r="A103" s="153">
        <v>2</v>
      </c>
      <c r="B103" s="49" t="s">
        <v>579</v>
      </c>
      <c r="C103" s="71"/>
      <c r="D103" s="30"/>
      <c r="E103" s="103" t="s">
        <v>703</v>
      </c>
      <c r="F103" s="150"/>
    </row>
    <row r="104" spans="1:6" ht="19.95" customHeight="1">
      <c r="A104" s="153">
        <v>3</v>
      </c>
      <c r="B104" s="49" t="s">
        <v>580</v>
      </c>
      <c r="C104" s="71"/>
      <c r="D104" s="30"/>
      <c r="E104" s="103" t="s">
        <v>703</v>
      </c>
      <c r="F104" s="150"/>
    </row>
    <row r="105" spans="1:6" ht="19.95" customHeight="1">
      <c r="A105" s="153">
        <v>4</v>
      </c>
      <c r="B105" s="49" t="s">
        <v>581</v>
      </c>
      <c r="C105" s="71"/>
      <c r="D105" s="30"/>
      <c r="E105" s="103" t="s">
        <v>703</v>
      </c>
      <c r="F105" s="150"/>
    </row>
    <row r="106" spans="1:6" ht="19.95" customHeight="1">
      <c r="A106" s="153">
        <v>5</v>
      </c>
      <c r="B106" s="49" t="s">
        <v>582</v>
      </c>
      <c r="C106" s="71"/>
      <c r="D106" s="30"/>
      <c r="E106" s="103" t="s">
        <v>703</v>
      </c>
      <c r="F106" s="150"/>
    </row>
    <row r="107" spans="1:6" ht="19.95" customHeight="1">
      <c r="A107" s="153">
        <v>6</v>
      </c>
      <c r="B107" s="49" t="s">
        <v>584</v>
      </c>
      <c r="C107" s="49"/>
      <c r="D107" s="30"/>
      <c r="E107" s="103" t="s">
        <v>703</v>
      </c>
      <c r="F107" s="150"/>
    </row>
    <row r="108" spans="1:6" ht="19.95" customHeight="1">
      <c r="A108" s="153">
        <v>7</v>
      </c>
      <c r="B108" s="151"/>
      <c r="C108" s="49"/>
      <c r="D108" s="30"/>
      <c r="E108" s="103" t="s">
        <v>703</v>
      </c>
      <c r="F108" s="150"/>
    </row>
    <row r="109" spans="1:6" ht="19.95" customHeight="1">
      <c r="A109" s="153">
        <v>8</v>
      </c>
      <c r="B109" s="151"/>
      <c r="C109" s="49"/>
      <c r="D109" s="30"/>
      <c r="E109" s="103" t="s">
        <v>703</v>
      </c>
      <c r="F109" s="152"/>
    </row>
  </sheetData>
  <mergeCells count="11">
    <mergeCell ref="F62:F69"/>
    <mergeCell ref="F72:F79"/>
    <mergeCell ref="F82:F89"/>
    <mergeCell ref="F92:F99"/>
    <mergeCell ref="F102:F109"/>
    <mergeCell ref="F2:F9"/>
    <mergeCell ref="F12:F19"/>
    <mergeCell ref="F22:F29"/>
    <mergeCell ref="F32:F39"/>
    <mergeCell ref="F42:F49"/>
    <mergeCell ref="F52:F5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7:F9"/>
  <sheetViews>
    <sheetView workbookViewId="0">
      <selection activeCell="F8" sqref="F8:F9"/>
    </sheetView>
  </sheetViews>
  <sheetFormatPr defaultRowHeight="13.2"/>
  <cols>
    <col min="3" max="3" width="39.44140625" bestFit="1" customWidth="1"/>
    <col min="4" max="4" width="28.33203125" bestFit="1" customWidth="1"/>
    <col min="5" max="5" width="11.109375" bestFit="1" customWidth="1"/>
    <col min="6" max="6" width="50.6640625" bestFit="1" customWidth="1"/>
  </cols>
  <sheetData>
    <row r="7" spans="2:6" ht="15.6">
      <c r="B7" s="93" t="s">
        <v>19</v>
      </c>
      <c r="C7" s="88" t="s">
        <v>671</v>
      </c>
      <c r="D7" s="88" t="s">
        <v>672</v>
      </c>
      <c r="E7" s="93" t="s">
        <v>21</v>
      </c>
      <c r="F7" s="93" t="s">
        <v>673</v>
      </c>
    </row>
    <row r="8" spans="2:6" ht="18" customHeight="1">
      <c r="B8" s="95">
        <v>1</v>
      </c>
      <c r="C8" s="94" t="s">
        <v>691</v>
      </c>
      <c r="D8" s="94" t="s">
        <v>690</v>
      </c>
      <c r="E8" s="27" t="s">
        <v>217</v>
      </c>
      <c r="F8" s="147" t="s">
        <v>692</v>
      </c>
    </row>
    <row r="9" spans="2:6" ht="18">
      <c r="B9" s="86">
        <v>2</v>
      </c>
      <c r="C9" s="94" t="s">
        <v>611</v>
      </c>
      <c r="D9" s="94" t="s">
        <v>611</v>
      </c>
      <c r="E9" s="27" t="s">
        <v>678</v>
      </c>
      <c r="F9" s="145"/>
    </row>
  </sheetData>
  <mergeCells count="1">
    <mergeCell ref="F8:F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D2:L89"/>
  <sheetViews>
    <sheetView topLeftCell="C1" zoomScale="70" zoomScaleNormal="70" workbookViewId="0">
      <selection activeCell="E39" sqref="E39"/>
    </sheetView>
  </sheetViews>
  <sheetFormatPr defaultColWidth="8.6640625" defaultRowHeight="13.2"/>
  <cols>
    <col min="4" max="4" width="41.44140625" bestFit="1" customWidth="1"/>
    <col min="5" max="5" width="51.44140625" bestFit="1" customWidth="1"/>
    <col min="6" max="6" width="43.44140625" bestFit="1" customWidth="1"/>
    <col min="7" max="7" width="20.33203125" customWidth="1"/>
    <col min="8" max="8" width="11.109375" bestFit="1" customWidth="1"/>
    <col min="9" max="9" width="48" customWidth="1"/>
    <col min="10" max="10" width="21.109375" customWidth="1"/>
    <col min="11" max="11" width="7.44140625" bestFit="1" customWidth="1"/>
    <col min="12" max="12" width="18.6640625" bestFit="1" customWidth="1"/>
  </cols>
  <sheetData>
    <row r="2" spans="4:12" ht="31.2">
      <c r="D2" s="23" t="s">
        <v>19</v>
      </c>
      <c r="E2" s="24" t="s">
        <v>20</v>
      </c>
      <c r="F2" s="24" t="s">
        <v>30</v>
      </c>
      <c r="G2" s="23" t="s">
        <v>21</v>
      </c>
      <c r="H2" s="23" t="s">
        <v>22</v>
      </c>
      <c r="I2" s="23" t="s">
        <v>541</v>
      </c>
      <c r="J2" s="11" t="s">
        <v>24</v>
      </c>
      <c r="K2" s="7" t="s">
        <v>25</v>
      </c>
      <c r="L2" s="7" t="s">
        <v>26</v>
      </c>
    </row>
    <row r="3" spans="4:12" ht="18">
      <c r="D3" s="74">
        <v>1</v>
      </c>
      <c r="E3" s="49" t="s">
        <v>211</v>
      </c>
      <c r="F3" s="49" t="s">
        <v>404</v>
      </c>
      <c r="G3" s="30" t="s">
        <v>545</v>
      </c>
      <c r="H3" s="30" t="s">
        <v>545</v>
      </c>
      <c r="I3" s="30" t="s">
        <v>609</v>
      </c>
      <c r="J3" s="123" t="s">
        <v>544</v>
      </c>
      <c r="K3" s="123" t="s">
        <v>542</v>
      </c>
      <c r="L3" s="123" t="s">
        <v>543</v>
      </c>
    </row>
    <row r="4" spans="4:12" ht="18">
      <c r="D4" s="74">
        <v>2</v>
      </c>
      <c r="E4" s="49" t="s">
        <v>212</v>
      </c>
      <c r="F4" s="49" t="s">
        <v>405</v>
      </c>
      <c r="G4" s="30" t="s">
        <v>546</v>
      </c>
      <c r="H4" s="30" t="s">
        <v>546</v>
      </c>
      <c r="I4" s="30" t="s">
        <v>609</v>
      </c>
      <c r="J4" s="123"/>
      <c r="K4" s="123"/>
      <c r="L4" s="123"/>
    </row>
    <row r="5" spans="4:12" ht="18">
      <c r="D5" s="74">
        <v>3</v>
      </c>
      <c r="E5" s="49" t="s">
        <v>231</v>
      </c>
      <c r="F5" s="49" t="s">
        <v>417</v>
      </c>
      <c r="G5" s="30" t="s">
        <v>547</v>
      </c>
      <c r="H5" s="30" t="s">
        <v>547</v>
      </c>
      <c r="I5" s="139" t="s">
        <v>610</v>
      </c>
      <c r="J5" s="123"/>
      <c r="K5" s="123"/>
      <c r="L5" s="123"/>
    </row>
    <row r="6" spans="4:12" ht="18">
      <c r="D6" s="74">
        <v>4</v>
      </c>
      <c r="E6" s="49" t="s">
        <v>618</v>
      </c>
      <c r="F6" s="49" t="s">
        <v>618</v>
      </c>
      <c r="G6" s="30" t="s">
        <v>617</v>
      </c>
      <c r="H6" s="30" t="s">
        <v>617</v>
      </c>
      <c r="I6" s="141"/>
      <c r="J6" s="123"/>
      <c r="K6" s="123"/>
      <c r="L6" s="123"/>
    </row>
    <row r="7" spans="4:12" ht="18">
      <c r="D7" s="74">
        <v>5</v>
      </c>
      <c r="E7" s="49" t="s">
        <v>189</v>
      </c>
      <c r="F7" s="67" t="s">
        <v>381</v>
      </c>
      <c r="G7" s="30" t="s">
        <v>548</v>
      </c>
      <c r="H7" s="30" t="s">
        <v>548</v>
      </c>
      <c r="I7" s="139" t="s">
        <v>610</v>
      </c>
      <c r="J7" s="123"/>
      <c r="K7" s="123"/>
      <c r="L7" s="123"/>
    </row>
    <row r="8" spans="4:12" ht="18">
      <c r="D8" s="74">
        <v>6</v>
      </c>
      <c r="E8" s="49" t="s">
        <v>618</v>
      </c>
      <c r="F8" s="49" t="s">
        <v>618</v>
      </c>
      <c r="G8" s="30" t="s">
        <v>619</v>
      </c>
      <c r="H8" s="30" t="s">
        <v>619</v>
      </c>
      <c r="I8" s="141"/>
      <c r="J8" s="123"/>
      <c r="K8" s="123"/>
      <c r="L8" s="123"/>
    </row>
    <row r="9" spans="4:12" ht="18">
      <c r="D9" s="74">
        <v>7</v>
      </c>
      <c r="E9" s="49" t="s">
        <v>202</v>
      </c>
      <c r="F9" s="49" t="s">
        <v>395</v>
      </c>
      <c r="G9" s="30" t="s">
        <v>549</v>
      </c>
      <c r="H9" s="30" t="s">
        <v>549</v>
      </c>
      <c r="I9" s="139" t="s">
        <v>610</v>
      </c>
      <c r="J9" s="123"/>
      <c r="K9" s="123"/>
      <c r="L9" s="123"/>
    </row>
    <row r="10" spans="4:12" ht="18">
      <c r="D10" s="74">
        <v>8</v>
      </c>
      <c r="E10" s="49" t="s">
        <v>618</v>
      </c>
      <c r="F10" s="49" t="s">
        <v>618</v>
      </c>
      <c r="G10" s="30" t="s">
        <v>620</v>
      </c>
      <c r="H10" s="30" t="s">
        <v>620</v>
      </c>
      <c r="I10" s="141"/>
      <c r="J10" s="123"/>
      <c r="K10" s="123"/>
      <c r="L10" s="123"/>
    </row>
    <row r="11" spans="4:12" ht="18">
      <c r="D11" s="74">
        <v>9</v>
      </c>
      <c r="E11" s="49" t="s">
        <v>204</v>
      </c>
      <c r="F11" s="49" t="s">
        <v>396</v>
      </c>
      <c r="G11" s="30" t="s">
        <v>550</v>
      </c>
      <c r="H11" s="30" t="s">
        <v>550</v>
      </c>
      <c r="I11" s="139" t="s">
        <v>608</v>
      </c>
      <c r="J11" s="123"/>
      <c r="K11" s="123"/>
      <c r="L11" s="123"/>
    </row>
    <row r="12" spans="4:12" ht="18">
      <c r="D12" s="74">
        <v>10</v>
      </c>
      <c r="E12" s="49" t="s">
        <v>618</v>
      </c>
      <c r="F12" s="49" t="s">
        <v>618</v>
      </c>
      <c r="G12" s="30" t="s">
        <v>621</v>
      </c>
      <c r="H12" s="30" t="s">
        <v>621</v>
      </c>
      <c r="I12" s="141"/>
      <c r="J12" s="123"/>
      <c r="K12" s="123"/>
      <c r="L12" s="123"/>
    </row>
    <row r="13" spans="4:12" ht="18">
      <c r="D13" s="74">
        <v>11</v>
      </c>
      <c r="E13" s="49" t="s">
        <v>159</v>
      </c>
      <c r="F13" s="49" t="s">
        <v>159</v>
      </c>
      <c r="G13" s="30" t="s">
        <v>551</v>
      </c>
      <c r="H13" s="30" t="s">
        <v>551</v>
      </c>
      <c r="I13" s="30" t="s">
        <v>611</v>
      </c>
      <c r="J13" s="123"/>
      <c r="K13" s="123"/>
      <c r="L13" s="123"/>
    </row>
    <row r="14" spans="4:12" ht="18">
      <c r="D14" s="74">
        <v>12</v>
      </c>
      <c r="E14" s="49" t="s">
        <v>159</v>
      </c>
      <c r="F14" s="49" t="s">
        <v>159</v>
      </c>
      <c r="G14" s="30" t="s">
        <v>552</v>
      </c>
      <c r="H14" s="30" t="s">
        <v>552</v>
      </c>
      <c r="I14" s="30" t="s">
        <v>611</v>
      </c>
      <c r="J14" s="123"/>
      <c r="K14" s="123"/>
      <c r="L14" s="123"/>
    </row>
    <row r="15" spans="4:12" ht="18">
      <c r="D15" s="74">
        <v>13</v>
      </c>
      <c r="E15" s="49" t="s">
        <v>159</v>
      </c>
      <c r="F15" s="49" t="s">
        <v>159</v>
      </c>
      <c r="G15" s="30" t="s">
        <v>553</v>
      </c>
      <c r="H15" s="30" t="s">
        <v>553</v>
      </c>
      <c r="I15" s="30" t="s">
        <v>611</v>
      </c>
      <c r="J15" s="123"/>
      <c r="K15" s="123"/>
      <c r="L15" s="123"/>
    </row>
    <row r="16" spans="4:12" ht="18">
      <c r="D16" s="74">
        <v>14</v>
      </c>
      <c r="E16" s="49" t="s">
        <v>159</v>
      </c>
      <c r="F16" s="49" t="s">
        <v>159</v>
      </c>
      <c r="G16" s="30" t="s">
        <v>554</v>
      </c>
      <c r="H16" s="30" t="s">
        <v>554</v>
      </c>
      <c r="I16" s="30" t="s">
        <v>611</v>
      </c>
      <c r="J16" s="123"/>
      <c r="K16" s="123"/>
      <c r="L16" s="123"/>
    </row>
    <row r="17" spans="4:12" ht="18">
      <c r="D17" s="74">
        <v>15</v>
      </c>
      <c r="E17" s="49" t="s">
        <v>159</v>
      </c>
      <c r="F17" s="49" t="s">
        <v>159</v>
      </c>
      <c r="G17" s="30" t="s">
        <v>555</v>
      </c>
      <c r="H17" s="30" t="s">
        <v>555</v>
      </c>
      <c r="I17" s="30" t="s">
        <v>611</v>
      </c>
      <c r="J17" s="123"/>
      <c r="K17" s="123"/>
      <c r="L17" s="123"/>
    </row>
    <row r="18" spans="4:12" ht="18">
      <c r="D18" s="74">
        <v>16</v>
      </c>
      <c r="E18" s="49" t="s">
        <v>159</v>
      </c>
      <c r="F18" s="49" t="s">
        <v>159</v>
      </c>
      <c r="G18" s="30" t="s">
        <v>556</v>
      </c>
      <c r="H18" s="30" t="s">
        <v>556</v>
      </c>
      <c r="I18" s="30" t="s">
        <v>611</v>
      </c>
      <c r="J18" s="123"/>
      <c r="K18" s="123"/>
      <c r="L18" s="123"/>
    </row>
    <row r="19" spans="4:12">
      <c r="D19" s="1"/>
    </row>
    <row r="20" spans="4:12">
      <c r="D20" s="1"/>
    </row>
    <row r="21" spans="4:12">
      <c r="D21" s="1"/>
    </row>
    <row r="22" spans="4:12">
      <c r="D22" s="1"/>
    </row>
    <row r="23" spans="4:12">
      <c r="D23" s="1"/>
    </row>
    <row r="24" spans="4:12">
      <c r="D24" s="1"/>
    </row>
    <row r="25" spans="4:12">
      <c r="D25" s="1"/>
    </row>
    <row r="26" spans="4:12">
      <c r="D26" s="1"/>
    </row>
    <row r="27" spans="4:12">
      <c r="D27" s="1"/>
    </row>
    <row r="28" spans="4:12">
      <c r="D28" s="1"/>
    </row>
    <row r="29" spans="4:12">
      <c r="D29" s="1"/>
    </row>
    <row r="30" spans="4:12">
      <c r="D30" s="1"/>
    </row>
    <row r="31" spans="4:12">
      <c r="D31" s="1"/>
    </row>
    <row r="32" spans="4:12">
      <c r="D32" s="1"/>
    </row>
    <row r="33" spans="4:4">
      <c r="D33" s="1"/>
    </row>
    <row r="34" spans="4:4">
      <c r="D34" s="1"/>
    </row>
    <row r="35" spans="4:4">
      <c r="D35" s="1"/>
    </row>
    <row r="36" spans="4:4">
      <c r="D36" s="1"/>
    </row>
    <row r="37" spans="4:4">
      <c r="D37" s="1"/>
    </row>
    <row r="38" spans="4:4">
      <c r="D38" s="1"/>
    </row>
    <row r="39" spans="4:4">
      <c r="D39" s="1"/>
    </row>
    <row r="40" spans="4:4">
      <c r="D40" s="1"/>
    </row>
    <row r="41" spans="4:4">
      <c r="D41" s="1"/>
    </row>
    <row r="42" spans="4:4">
      <c r="D42" s="1"/>
    </row>
    <row r="43" spans="4:4">
      <c r="D43" s="1"/>
    </row>
    <row r="44" spans="4:4">
      <c r="D44" s="1"/>
    </row>
    <row r="45" spans="4:4">
      <c r="D45" s="1"/>
    </row>
    <row r="46" spans="4:4">
      <c r="D46" s="1"/>
    </row>
    <row r="47" spans="4:4">
      <c r="D47" s="1"/>
    </row>
    <row r="48" spans="4:4">
      <c r="D48" s="1"/>
    </row>
    <row r="49" spans="4:4">
      <c r="D49" s="1"/>
    </row>
    <row r="50" spans="4:4">
      <c r="D50" s="1"/>
    </row>
    <row r="51" spans="4:4">
      <c r="D51" s="1"/>
    </row>
    <row r="52" spans="4:4">
      <c r="D52" s="1"/>
    </row>
    <row r="54" spans="4:4">
      <c r="D54" s="1"/>
    </row>
    <row r="55" spans="4:4">
      <c r="D55" s="1"/>
    </row>
    <row r="56" spans="4:4">
      <c r="D56" s="1"/>
    </row>
    <row r="57" spans="4:4">
      <c r="D57" s="1"/>
    </row>
    <row r="58" spans="4:4">
      <c r="D58" s="1"/>
    </row>
    <row r="59" spans="4:4">
      <c r="D59" s="1"/>
    </row>
    <row r="60" spans="4:4">
      <c r="D60" s="1"/>
    </row>
    <row r="61" spans="4:4">
      <c r="D61" s="1"/>
    </row>
    <row r="62" spans="4:4">
      <c r="D62" s="1"/>
    </row>
    <row r="63" spans="4:4">
      <c r="D63" s="1"/>
    </row>
    <row r="64" spans="4:4">
      <c r="D64" s="1"/>
    </row>
    <row r="65" spans="4:4">
      <c r="D65" s="1"/>
    </row>
    <row r="66" spans="4:4">
      <c r="D66" s="1"/>
    </row>
    <row r="67" spans="4:4">
      <c r="D67" s="1"/>
    </row>
    <row r="68" spans="4:4">
      <c r="D68" s="1"/>
    </row>
    <row r="69" spans="4:4">
      <c r="D69" s="1"/>
    </row>
    <row r="70" spans="4:4">
      <c r="D70" s="1"/>
    </row>
    <row r="71" spans="4:4">
      <c r="D71" s="1"/>
    </row>
    <row r="72" spans="4:4">
      <c r="D72" s="1"/>
    </row>
    <row r="73" spans="4:4">
      <c r="D73" s="1"/>
    </row>
    <row r="74" spans="4:4">
      <c r="D74" s="1"/>
    </row>
    <row r="75" spans="4:4">
      <c r="D75" s="1"/>
    </row>
    <row r="76" spans="4:4">
      <c r="D76" s="1"/>
    </row>
    <row r="77" spans="4:4">
      <c r="D77" s="1"/>
    </row>
    <row r="78" spans="4:4">
      <c r="D78" s="1"/>
    </row>
    <row r="79" spans="4:4">
      <c r="D79" s="1"/>
    </row>
    <row r="80" spans="4:4">
      <c r="D80" s="1"/>
    </row>
    <row r="81" spans="4:4">
      <c r="D81" s="1"/>
    </row>
    <row r="82" spans="4:4">
      <c r="D82" s="1"/>
    </row>
    <row r="83" spans="4:4">
      <c r="D83" s="1"/>
    </row>
    <row r="84" spans="4:4">
      <c r="D84" s="1"/>
    </row>
    <row r="85" spans="4:4">
      <c r="D85" s="1"/>
    </row>
    <row r="86" spans="4:4">
      <c r="D86" s="1"/>
    </row>
    <row r="87" spans="4:4">
      <c r="D87" s="1"/>
    </row>
    <row r="88" spans="4:4">
      <c r="D88" s="1"/>
    </row>
    <row r="89" spans="4:4">
      <c r="D89" s="1"/>
    </row>
  </sheetData>
  <mergeCells count="7">
    <mergeCell ref="J3:J18"/>
    <mergeCell ref="K3:K18"/>
    <mergeCell ref="L3:L18"/>
    <mergeCell ref="I5:I6"/>
    <mergeCell ref="I7:I8"/>
    <mergeCell ref="I11:I12"/>
    <mergeCell ref="I9:I10"/>
  </mergeCells>
  <phoneticPr fontId="47" type="noConversion"/>
  <dataValidations disablePrompts="1" count="1">
    <dataValidation allowBlank="1" showInputMessage="1" prompt="Enter Reed Switch Specification details here" sqref="I13:I18" xr:uid="{00000000-0002-0000-0100-000000000000}"/>
  </dataValidation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'\Users\pavithraashokan\Library\Containers\com.microsoft.Excel\Data\Documents\C:\Users\e5022454\Downloads\[BAA 10 Cylinder, Air Consumption &amp; Valve List V3.0 (4).xlsm]List'!#REF!</xm:f>
          </x14:formula1>
          <xm:sqref>I3:I5 I7 I9 I11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E16"/>
  <sheetViews>
    <sheetView workbookViewId="0">
      <selection activeCell="D10" sqref="D10"/>
    </sheetView>
  </sheetViews>
  <sheetFormatPr defaultColWidth="8.6640625" defaultRowHeight="13.2"/>
  <cols>
    <col min="2" max="2" width="32.6640625" bestFit="1" customWidth="1"/>
    <col min="4" max="4" width="51.6640625" bestFit="1" customWidth="1"/>
    <col min="5" max="5" width="36.109375" bestFit="1" customWidth="1"/>
  </cols>
  <sheetData>
    <row r="1" spans="2:5">
      <c r="B1" s="1" t="s">
        <v>336</v>
      </c>
    </row>
    <row r="2" spans="2:5">
      <c r="B2" s="1" t="s">
        <v>337</v>
      </c>
    </row>
    <row r="3" spans="2:5">
      <c r="B3" s="1" t="s">
        <v>338</v>
      </c>
    </row>
    <row r="4" spans="2:5">
      <c r="B4" s="1" t="s">
        <v>339</v>
      </c>
    </row>
    <row r="8" spans="2:5" ht="18">
      <c r="D8" s="78" t="s">
        <v>294</v>
      </c>
      <c r="E8" s="77" t="s">
        <v>441</v>
      </c>
    </row>
    <row r="9" spans="2:5" ht="18">
      <c r="D9" s="78" t="s">
        <v>295</v>
      </c>
      <c r="E9" s="77" t="s">
        <v>443</v>
      </c>
    </row>
    <row r="10" spans="2:5" ht="18">
      <c r="D10" s="78" t="s">
        <v>296</v>
      </c>
      <c r="E10" s="77" t="s">
        <v>444</v>
      </c>
    </row>
    <row r="11" spans="2:5" ht="18">
      <c r="D11" s="78" t="s">
        <v>297</v>
      </c>
      <c r="E11" s="77" t="s">
        <v>442</v>
      </c>
    </row>
    <row r="12" spans="2:5" ht="18">
      <c r="D12" s="78" t="s">
        <v>298</v>
      </c>
      <c r="E12" s="77" t="s">
        <v>445</v>
      </c>
    </row>
    <row r="13" spans="2:5" ht="18">
      <c r="D13" s="78" t="s">
        <v>299</v>
      </c>
      <c r="E13" s="77" t="s">
        <v>446</v>
      </c>
    </row>
    <row r="14" spans="2:5" ht="18">
      <c r="D14" s="78" t="s">
        <v>300</v>
      </c>
      <c r="E14" s="77" t="s">
        <v>447</v>
      </c>
    </row>
    <row r="15" spans="2:5" ht="18">
      <c r="D15" s="78" t="s">
        <v>301</v>
      </c>
      <c r="E15" s="77" t="s">
        <v>448</v>
      </c>
    </row>
    <row r="16" spans="2:5" ht="18">
      <c r="D16" s="78" t="s">
        <v>302</v>
      </c>
      <c r="E16" s="77" t="s">
        <v>449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25"/>
  <sheetViews>
    <sheetView topLeftCell="A17" workbookViewId="0">
      <selection activeCell="A27" sqref="A27"/>
    </sheetView>
  </sheetViews>
  <sheetFormatPr defaultColWidth="8.6640625" defaultRowHeight="13.2"/>
  <cols>
    <col min="1" max="1" width="98.109375" bestFit="1" customWidth="1"/>
    <col min="2" max="2" width="10.33203125" customWidth="1"/>
    <col min="3" max="3" width="21.6640625" bestFit="1" customWidth="1"/>
    <col min="4" max="4" width="18.44140625" bestFit="1" customWidth="1"/>
  </cols>
  <sheetData>
    <row r="1" spans="1:4" ht="37.200000000000003" customHeight="1">
      <c r="A1" s="4" t="s">
        <v>54</v>
      </c>
      <c r="B1" s="4"/>
      <c r="C1" s="146" t="s">
        <v>58</v>
      </c>
      <c r="D1" s="146"/>
    </row>
    <row r="2" spans="1:4">
      <c r="A2" s="2" t="s">
        <v>51</v>
      </c>
      <c r="B2" s="1"/>
      <c r="C2" t="s">
        <v>55</v>
      </c>
      <c r="D2" t="s">
        <v>56</v>
      </c>
    </row>
    <row r="3" spans="1:4">
      <c r="A3" s="3" t="s">
        <v>31</v>
      </c>
      <c r="C3" t="s">
        <v>32</v>
      </c>
    </row>
    <row r="4" spans="1:4">
      <c r="A4" s="3" t="s">
        <v>57</v>
      </c>
      <c r="C4" t="s">
        <v>33</v>
      </c>
    </row>
    <row r="5" spans="1:4" ht="26.4">
      <c r="A5" s="2" t="s">
        <v>52</v>
      </c>
      <c r="B5" s="2"/>
      <c r="C5" t="s">
        <v>34</v>
      </c>
    </row>
    <row r="6" spans="1:4" ht="26.4">
      <c r="A6" s="3" t="s">
        <v>59</v>
      </c>
      <c r="C6" t="s">
        <v>35</v>
      </c>
    </row>
    <row r="7" spans="1:4">
      <c r="A7" s="3" t="s">
        <v>60</v>
      </c>
      <c r="C7" t="s">
        <v>36</v>
      </c>
    </row>
    <row r="8" spans="1:4" ht="26.4">
      <c r="A8" s="3" t="s">
        <v>63</v>
      </c>
      <c r="C8" t="s">
        <v>37</v>
      </c>
    </row>
    <row r="9" spans="1:4">
      <c r="A9" s="3" t="s">
        <v>61</v>
      </c>
      <c r="C9" t="s">
        <v>38</v>
      </c>
    </row>
    <row r="10" spans="1:4">
      <c r="A10" s="3" t="s">
        <v>62</v>
      </c>
      <c r="C10" t="s">
        <v>39</v>
      </c>
    </row>
    <row r="11" spans="1:4">
      <c r="A11" s="3"/>
      <c r="C11" t="s">
        <v>40</v>
      </c>
    </row>
    <row r="12" spans="1:4">
      <c r="A12" s="3"/>
      <c r="C12" t="s">
        <v>41</v>
      </c>
    </row>
    <row r="13" spans="1:4">
      <c r="A13" s="3"/>
      <c r="C13" t="s">
        <v>42</v>
      </c>
    </row>
    <row r="14" spans="1:4">
      <c r="C14" t="s">
        <v>43</v>
      </c>
    </row>
    <row r="15" spans="1:4">
      <c r="C15" t="s">
        <v>44</v>
      </c>
    </row>
    <row r="16" spans="1:4">
      <c r="C16" t="s">
        <v>45</v>
      </c>
    </row>
    <row r="17" spans="3:4">
      <c r="C17" t="s">
        <v>46</v>
      </c>
    </row>
    <row r="18" spans="3:4">
      <c r="C18" t="s">
        <v>47</v>
      </c>
    </row>
    <row r="19" spans="3:4">
      <c r="C19" t="s">
        <v>48</v>
      </c>
    </row>
    <row r="20" spans="3:4">
      <c r="C20" t="s">
        <v>49</v>
      </c>
    </row>
    <row r="21" spans="3:4">
      <c r="C21" t="s">
        <v>50</v>
      </c>
    </row>
    <row r="22" spans="3:4">
      <c r="C22" t="s">
        <v>65</v>
      </c>
      <c r="D22" t="s">
        <v>64</v>
      </c>
    </row>
    <row r="23" spans="3:4">
      <c r="C23" t="s">
        <v>67</v>
      </c>
      <c r="D23" t="s">
        <v>66</v>
      </c>
    </row>
    <row r="24" spans="3:4">
      <c r="C24" t="s">
        <v>68</v>
      </c>
      <c r="D24" t="s">
        <v>69</v>
      </c>
    </row>
    <row r="25" spans="3:4">
      <c r="C25" t="s">
        <v>70</v>
      </c>
      <c r="D25" t="s">
        <v>71</v>
      </c>
    </row>
  </sheetData>
  <mergeCells count="1">
    <mergeCell ref="C1:D1"/>
  </mergeCells>
  <pageMargins left="0.7" right="0.7" top="0.75" bottom="0.75" header="0.3" footer="0.3"/>
  <headerFooter>
    <oddFooter>&amp;L_x000D_&amp;1#&amp;"Calibri"&amp;8&amp;K000000 Sensitivity: Internal</oddFooter>
  </headerFooter>
</worksheet>
</file>

<file path=docMetadata/LabelInfo.xml><?xml version="1.0" encoding="utf-8"?>
<clbl:labelList xmlns:clbl="http://schemas.microsoft.com/office/2020/mipLabelMetadata">
  <clbl:label id="{7ad5f1e9-d6a9-44b6-b409-44344f128308}" enabled="1" method="Standard" siteId="{7cc91c38-648e-4ce2-a4e4-517ae39fc189}"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AAA</vt:lpstr>
      <vt:lpstr>Sen-DB</vt:lpstr>
      <vt:lpstr>R2.0</vt:lpstr>
      <vt:lpstr>Sheet1</vt:lpstr>
      <vt:lpstr>Review Points</vt:lpstr>
      <vt:lpstr>Guidelines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Shabbeer Basha G</dc:creator>
  <cp:lastModifiedBy>Aadhil Mohamed A</cp:lastModifiedBy>
  <cp:lastPrinted>2018-03-03T06:11:26Z</cp:lastPrinted>
  <dcterms:created xsi:type="dcterms:W3CDTF">2012-01-11T03:24:24Z</dcterms:created>
  <dcterms:modified xsi:type="dcterms:W3CDTF">2025-11-04T07:07:37Z</dcterms:modified>
</cp:coreProperties>
</file>